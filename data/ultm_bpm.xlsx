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9c422ef32b6f0eca/Escritorio/00_Fundamentos_Python/fundamentos_python_proyecto_final/data/"/>
    </mc:Choice>
  </mc:AlternateContent>
  <xr:revisionPtr revIDLastSave="14" documentId="13_ncr:1_{AD0860F3-B776-4ACB-8F40-0162364FC691}" xr6:coauthVersionLast="47" xr6:coauthVersionMax="47" xr10:uidLastSave="{A6595FA2-7D5C-4574-BA6F-F4A2F9F3203E}"/>
  <bookViews>
    <workbookView xWindow="28680" yWindow="-120" windowWidth="29040" windowHeight="15720" tabRatio="50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Sheet1!$A$1:$BG$62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2" i="2"/>
</calcChain>
</file>

<file path=xl/sharedStrings.xml><?xml version="1.0" encoding="utf-8"?>
<sst xmlns="http://schemas.openxmlformats.org/spreadsheetml/2006/main" count="1954" uniqueCount="488">
  <si>
    <t>Solicitud</t>
  </si>
  <si>
    <t>Incidente</t>
  </si>
  <si>
    <t>Proceso</t>
  </si>
  <si>
    <t>Tipo Solicitante</t>
  </si>
  <si>
    <t>Ente</t>
  </si>
  <si>
    <t>Tipo Cliente</t>
  </si>
  <si>
    <t>Identificación</t>
  </si>
  <si>
    <t>Tipo Identificación</t>
  </si>
  <si>
    <t>Primer Nombre</t>
  </si>
  <si>
    <t>Segundo Nombre</t>
  </si>
  <si>
    <t>Primer Apellido</t>
  </si>
  <si>
    <t>Segundo Apellido</t>
  </si>
  <si>
    <t>Género</t>
  </si>
  <si>
    <t>Estado Civil</t>
  </si>
  <si>
    <t>Nacionalidad</t>
  </si>
  <si>
    <t>Fecha Nacimiento</t>
  </si>
  <si>
    <t>Profesión</t>
  </si>
  <si>
    <t>Estado con Banco</t>
  </si>
  <si>
    <t>Sucursal</t>
  </si>
  <si>
    <t>Nombre Ejecutivo</t>
  </si>
  <si>
    <t>Cod. Oficial</t>
  </si>
  <si>
    <t>Teléfono Ejecutivo</t>
  </si>
  <si>
    <t>Email Ejecutivo</t>
  </si>
  <si>
    <t>Ejecutivo Agencia</t>
  </si>
  <si>
    <t>Email Ejecutivo Agencia</t>
  </si>
  <si>
    <t>Aseguradora</t>
  </si>
  <si>
    <t>Campaña</t>
  </si>
  <si>
    <t>Programa Crediticio</t>
  </si>
  <si>
    <t>Agencia Vehículo</t>
  </si>
  <si>
    <t>Marca Vehículo</t>
  </si>
  <si>
    <t>Estilo Vehículo</t>
  </si>
  <si>
    <t>Uso Vehículo</t>
  </si>
  <si>
    <t>Moneda</t>
  </si>
  <si>
    <t>Tipo Vehículo</t>
  </si>
  <si>
    <t>Es Colaborador</t>
  </si>
  <si>
    <t>Año Vehículo</t>
  </si>
  <si>
    <t>% Comisión</t>
  </si>
  <si>
    <t>% Prima Minima</t>
  </si>
  <si>
    <t>Plazo Meses Crédito</t>
  </si>
  <si>
    <t>Plazo Meses Gracia</t>
  </si>
  <si>
    <t>Valor Vehículo</t>
  </si>
  <si>
    <t>Tipo Cambio</t>
  </si>
  <si>
    <t>% Prima</t>
  </si>
  <si>
    <t>Monto Prima</t>
  </si>
  <si>
    <t>Monto Comisión</t>
  </si>
  <si>
    <t>Monto Préstamo</t>
  </si>
  <si>
    <t>Monto Desembolso</t>
  </si>
  <si>
    <t>Fecha Cotiza</t>
  </si>
  <si>
    <t>Cuota Préstamo</t>
  </si>
  <si>
    <t>Es Seguro Auto Manual</t>
  </si>
  <si>
    <t>Tiene Excepciones</t>
  </si>
  <si>
    <t>Excepción 1</t>
  </si>
  <si>
    <t>Excepción 2</t>
  </si>
  <si>
    <t>Decisión Crédito</t>
  </si>
  <si>
    <t>Motivo Rechazo Analista</t>
  </si>
  <si>
    <t>Recomendación TC</t>
  </si>
  <si>
    <t>LimiteRecomendado</t>
  </si>
  <si>
    <t>Secuencia Motivo Modificación Carátula</t>
  </si>
  <si>
    <t>Motivo Modificación Carátula</t>
  </si>
  <si>
    <t>PrestamoPrendario</t>
  </si>
  <si>
    <t>Deudor</t>
  </si>
  <si>
    <t>Nuevo</t>
  </si>
  <si>
    <t>Persona Física Nacional</t>
  </si>
  <si>
    <t>SOLANO</t>
  </si>
  <si>
    <t>GOMEZ</t>
  </si>
  <si>
    <t>Masculino</t>
  </si>
  <si>
    <t>SOLTERO(A)</t>
  </si>
  <si>
    <t>COSTARRICENSE</t>
  </si>
  <si>
    <t>24/11/1997</t>
  </si>
  <si>
    <t>ANALISTA</t>
  </si>
  <si>
    <t>SAN JOSÉ</t>
  </si>
  <si>
    <t>INSTITUTO NACIONAL DE SEGUROS</t>
  </si>
  <si>
    <t>Expomóvil 2025</t>
  </si>
  <si>
    <t>Condición Venta Cruzada** – Exclusiva para Autos Emergentes Expomovil 2025 Clientes CIC 0 - Con piso</t>
  </si>
  <si>
    <t>VEINSA MOTORS</t>
  </si>
  <si>
    <t>Geely</t>
  </si>
  <si>
    <t>EX5</t>
  </si>
  <si>
    <t>PERSONAL</t>
  </si>
  <si>
    <t>DOLARES</t>
  </si>
  <si>
    <t>AUTO NUEVO</t>
  </si>
  <si>
    <t>NO</t>
  </si>
  <si>
    <t>20/03/2025</t>
  </si>
  <si>
    <t>SI</t>
  </si>
  <si>
    <t>Aprobar</t>
  </si>
  <si>
    <t>Positiva</t>
  </si>
  <si>
    <t>VARGAS</t>
  </si>
  <si>
    <t>IBARRA</t>
  </si>
  <si>
    <t>Femenino</t>
  </si>
  <si>
    <t>CASADO(A)</t>
  </si>
  <si>
    <t>07/02/1984</t>
  </si>
  <si>
    <t>DESPACHADOR</t>
  </si>
  <si>
    <t>Tasa Fija todo el plazo- 20% Prima - Ecoauto - Combustión ExpoMovil 2025</t>
  </si>
  <si>
    <t>Vetrasa</t>
  </si>
  <si>
    <t>Changan</t>
  </si>
  <si>
    <t>CS35</t>
  </si>
  <si>
    <t>26/03/2025</t>
  </si>
  <si>
    <t>Cambio en los Seguros</t>
  </si>
  <si>
    <t>Cambio de Vehículo</t>
  </si>
  <si>
    <t>Cambio en el monto de la prima</t>
  </si>
  <si>
    <t>Cambio en el valor del vehículo</t>
  </si>
  <si>
    <t>Actual</t>
  </si>
  <si>
    <t>Cedula</t>
  </si>
  <si>
    <t>MORA</t>
  </si>
  <si>
    <t>ARAYA</t>
  </si>
  <si>
    <t>COSTARICENSE</t>
  </si>
  <si>
    <t>23/09/1958</t>
  </si>
  <si>
    <t>PENSIONADO</t>
  </si>
  <si>
    <t>Cori Motors S.A</t>
  </si>
  <si>
    <t>BYD</t>
  </si>
  <si>
    <t>YUAN PRO  GS</t>
  </si>
  <si>
    <t>Ir a Cotizacion</t>
  </si>
  <si>
    <t>ALVAREZ</t>
  </si>
  <si>
    <t>LACAYO</t>
  </si>
  <si>
    <t>06/05/1989</t>
  </si>
  <si>
    <t>CONTADOR PUBLICO AUTORIZADO/CONTADOR</t>
  </si>
  <si>
    <t>Condición Venta cruzada-Tasa Fija  meses 15% Expomovil 2025</t>
  </si>
  <si>
    <t>GRUPO Q</t>
  </si>
  <si>
    <t>Mazda</t>
  </si>
  <si>
    <t>CX-30</t>
  </si>
  <si>
    <t>Rechazar</t>
  </si>
  <si>
    <t>Elevado endeudamiento</t>
  </si>
  <si>
    <t>LAURA</t>
  </si>
  <si>
    <t>PATRICIA</t>
  </si>
  <si>
    <t>ALVARADO</t>
  </si>
  <si>
    <t>PEÑARANDA</t>
  </si>
  <si>
    <t>01/09/1969</t>
  </si>
  <si>
    <t>ABOGADO</t>
  </si>
  <si>
    <t>TIBÁS</t>
  </si>
  <si>
    <t>Tasa Fija Todo Plazo Ecoautos- Venta Cruzada 20% Prima Expomovil 2025 opción 1</t>
  </si>
  <si>
    <t>Veinsa</t>
  </si>
  <si>
    <t>GEOMETRY C EV GT SUV SP</t>
  </si>
  <si>
    <t>21/03/2025</t>
  </si>
  <si>
    <t>Políticas internas del banco</t>
  </si>
  <si>
    <t>NICOLE</t>
  </si>
  <si>
    <t>RODRIGUEZ</t>
  </si>
  <si>
    <t>PEREZ</t>
  </si>
  <si>
    <t>21/10/2001</t>
  </si>
  <si>
    <t>DESCONOCIDO</t>
  </si>
  <si>
    <t>CARTAGO</t>
  </si>
  <si>
    <t>SEAGULL</t>
  </si>
  <si>
    <t>No cumple con Antigüedad laboral</t>
  </si>
  <si>
    <t>No aplica</t>
  </si>
  <si>
    <t>STEVEN</t>
  </si>
  <si>
    <t>IBARRAS</t>
  </si>
  <si>
    <t>07/08/1998</t>
  </si>
  <si>
    <t>SAN PEDRO</t>
  </si>
  <si>
    <t>Tasa Fija 60 meses 15%Prima -Condición Venta Cruzada - Ecoauto-Combustión Expomovil 2025</t>
  </si>
  <si>
    <t>Ambacar S.A.</t>
  </si>
  <si>
    <t>Haval</t>
  </si>
  <si>
    <t>Jolion</t>
  </si>
  <si>
    <t>GABRIEL</t>
  </si>
  <si>
    <t>FLORES</t>
  </si>
  <si>
    <t>MELENDEZ</t>
  </si>
  <si>
    <t>28/04/2002</t>
  </si>
  <si>
    <t>GUADALUPE</t>
  </si>
  <si>
    <t>Song</t>
  </si>
  <si>
    <t>22/03/2025</t>
  </si>
  <si>
    <t>JOSE</t>
  </si>
  <si>
    <t>PABLO</t>
  </si>
  <si>
    <t>OCAMPO</t>
  </si>
  <si>
    <t>LEAL</t>
  </si>
  <si>
    <t>01/06/1999</t>
  </si>
  <si>
    <t>DISEÑADOR GRAFICO</t>
  </si>
  <si>
    <t>LIMÓN</t>
  </si>
  <si>
    <t>Condición Venta cruzada* - Tasa Fija 24 meses Todo Plazo ECOAUTOS - Opción 1 Con Piso Expomovil 2025</t>
  </si>
  <si>
    <t>Suzuki</t>
  </si>
  <si>
    <t>Jimny</t>
  </si>
  <si>
    <t>MASIS</t>
  </si>
  <si>
    <t>MORALES</t>
  </si>
  <si>
    <t>04/11/1981</t>
  </si>
  <si>
    <t>GERENTE</t>
  </si>
  <si>
    <t>SANTA ANA</t>
  </si>
  <si>
    <t>Grupo Quality Motors</t>
  </si>
  <si>
    <t>KIA</t>
  </si>
  <si>
    <t>T5 EVO</t>
  </si>
  <si>
    <t>No recomienda</t>
  </si>
  <si>
    <t>Negativa</t>
  </si>
  <si>
    <t>CASTRO</t>
  </si>
  <si>
    <t>RAMIREZ</t>
  </si>
  <si>
    <t>12/06/1992</t>
  </si>
  <si>
    <t>VETERINARIO</t>
  </si>
  <si>
    <t>27/03/2025</t>
  </si>
  <si>
    <t>CASTILLO</t>
  </si>
  <si>
    <t>SOTELA</t>
  </si>
  <si>
    <t>18/06/2001</t>
  </si>
  <si>
    <t>INGENIERO</t>
  </si>
  <si>
    <t>HEREDIA</t>
  </si>
  <si>
    <t>Grupo Danissa</t>
  </si>
  <si>
    <t>Nissan</t>
  </si>
  <si>
    <t>Kicks</t>
  </si>
  <si>
    <t>CRISTINA</t>
  </si>
  <si>
    <t>GALLO</t>
  </si>
  <si>
    <t>26/01/1990</t>
  </si>
  <si>
    <t>LIBERIA</t>
  </si>
  <si>
    <t>Baleno</t>
  </si>
  <si>
    <t>MARIA</t>
  </si>
  <si>
    <t>NAVARRO</t>
  </si>
  <si>
    <t>BRENES</t>
  </si>
  <si>
    <t>19/10/1999</t>
  </si>
  <si>
    <t>ROHRMOSER</t>
  </si>
  <si>
    <t>Purdy Motor</t>
  </si>
  <si>
    <t>TOYOTA</t>
  </si>
  <si>
    <t>Raize</t>
  </si>
  <si>
    <t>BRYAN</t>
  </si>
  <si>
    <t>ANDRES</t>
  </si>
  <si>
    <t>URBINA</t>
  </si>
  <si>
    <t>TORRES</t>
  </si>
  <si>
    <t>11/01/2002</t>
  </si>
  <si>
    <t>Chevrolet</t>
  </si>
  <si>
    <t>GROOVE</t>
  </si>
  <si>
    <t>Endeudamiento</t>
  </si>
  <si>
    <t>LTV</t>
  </si>
  <si>
    <t>Se adjuntan documentos requeridos para análisis</t>
  </si>
  <si>
    <t>FRANCISCO</t>
  </si>
  <si>
    <t>MIGUEL</t>
  </si>
  <si>
    <t>GARCIA</t>
  </si>
  <si>
    <t>MARIN</t>
  </si>
  <si>
    <t>07/10/1983</t>
  </si>
  <si>
    <t>ANALISTA DE SISTEMAS/PROGRAMADOR</t>
  </si>
  <si>
    <t>Distrito AutoMotriz</t>
  </si>
  <si>
    <t>CHAVERRI</t>
  </si>
  <si>
    <t>ESQUIVEL</t>
  </si>
  <si>
    <t>15/09/1972</t>
  </si>
  <si>
    <t>ADMINISTRADOR</t>
  </si>
  <si>
    <t>Hyundai</t>
  </si>
  <si>
    <t>Venue</t>
  </si>
  <si>
    <t>VIQUEZ</t>
  </si>
  <si>
    <t>BENAVIDES</t>
  </si>
  <si>
    <t>20/01/1996</t>
  </si>
  <si>
    <t>ENCARGADO DE SOPORTE</t>
  </si>
  <si>
    <t>Captiva</t>
  </si>
  <si>
    <t>Datos mal incluidos</t>
  </si>
  <si>
    <t>JIMENEZ</t>
  </si>
  <si>
    <t>GONZALEZ</t>
  </si>
  <si>
    <t>04/07/1991</t>
  </si>
  <si>
    <t>MAESTRO DE OBRAS</t>
  </si>
  <si>
    <t>CURRIDABAT</t>
  </si>
  <si>
    <t>Versa</t>
  </si>
  <si>
    <t>28/03/2025</t>
  </si>
  <si>
    <t>ACUÑA</t>
  </si>
  <si>
    <t>LEON</t>
  </si>
  <si>
    <t>31/08/1997</t>
  </si>
  <si>
    <t>OMOJAE MOTORS</t>
  </si>
  <si>
    <t>OMODA</t>
  </si>
  <si>
    <t>Omoda C5</t>
  </si>
  <si>
    <t>24/03/2025</t>
  </si>
  <si>
    <t>Cliente no cumple con perfil apto para el Banco</t>
  </si>
  <si>
    <t>Alfa Romeo</t>
  </si>
  <si>
    <t>4C</t>
  </si>
  <si>
    <t>Cliente ya posee incidente aprobado (Mismo vehículo)</t>
  </si>
  <si>
    <t>ANDREA</t>
  </si>
  <si>
    <t>MONGE</t>
  </si>
  <si>
    <t>MARCHENA</t>
  </si>
  <si>
    <t>01/05/2000</t>
  </si>
  <si>
    <t>CRIMINOLOGO</t>
  </si>
  <si>
    <t>ALBERTO</t>
  </si>
  <si>
    <t>ARCE</t>
  </si>
  <si>
    <t>DIVORCIADO(A)</t>
  </si>
  <si>
    <t>13/03/1974</t>
  </si>
  <si>
    <t>OPERADOR</t>
  </si>
  <si>
    <t>VICTOR</t>
  </si>
  <si>
    <t>GUTIERREZ</t>
  </si>
  <si>
    <t>PORTILLA</t>
  </si>
  <si>
    <t>26/01/1971</t>
  </si>
  <si>
    <t>DFSK</t>
  </si>
  <si>
    <t>C3</t>
  </si>
  <si>
    <t>Garantía no aplica</t>
  </si>
  <si>
    <t>SABORIO</t>
  </si>
  <si>
    <t>15/08/1986</t>
  </si>
  <si>
    <t>Toyota</t>
  </si>
  <si>
    <t>VINICIO</t>
  </si>
  <si>
    <t>ALFARO</t>
  </si>
  <si>
    <t>LOBO</t>
  </si>
  <si>
    <t>27/05/1965</t>
  </si>
  <si>
    <t>OFICINISTA</t>
  </si>
  <si>
    <t>X-Trail</t>
  </si>
  <si>
    <t>ROJAS</t>
  </si>
  <si>
    <t>MENESES</t>
  </si>
  <si>
    <t>14/01/1991</t>
  </si>
  <si>
    <t>Grand Motors</t>
  </si>
  <si>
    <t>Dong Feng</t>
  </si>
  <si>
    <t>NAMMI 01</t>
  </si>
  <si>
    <t>PILAR</t>
  </si>
  <si>
    <t>CASCANTE</t>
  </si>
  <si>
    <t>PRADA</t>
  </si>
  <si>
    <t>29/11/1961</t>
  </si>
  <si>
    <t>Qashqai</t>
  </si>
  <si>
    <t>ANA</t>
  </si>
  <si>
    <t>SALAZAR</t>
  </si>
  <si>
    <t>DE LA O</t>
  </si>
  <si>
    <t>16/01/1987</t>
  </si>
  <si>
    <t>DIGITADOR</t>
  </si>
  <si>
    <t>Mitsubishi</t>
  </si>
  <si>
    <t>Sport</t>
  </si>
  <si>
    <t>FERNANDO</t>
  </si>
  <si>
    <t>ALEXIS</t>
  </si>
  <si>
    <t>PEÑA</t>
  </si>
  <si>
    <t>ANGULO</t>
  </si>
  <si>
    <t>08/05/1991</t>
  </si>
  <si>
    <t>Outlander</t>
  </si>
  <si>
    <t>25/03/2025</t>
  </si>
  <si>
    <t>LORIA</t>
  </si>
  <si>
    <t>29/08/1989</t>
  </si>
  <si>
    <t>Geely CoolRay</t>
  </si>
  <si>
    <t>JULIAN</t>
  </si>
  <si>
    <t>PICADO</t>
  </si>
  <si>
    <t>MONTERO</t>
  </si>
  <si>
    <t>17/04/1987</t>
  </si>
  <si>
    <t>MEJIAS</t>
  </si>
  <si>
    <t>OPORTA</t>
  </si>
  <si>
    <t>15/01/1994</t>
  </si>
  <si>
    <t>INGENIERO INDUSTRIAL</t>
  </si>
  <si>
    <t>DUARTE</t>
  </si>
  <si>
    <t>BONILLA</t>
  </si>
  <si>
    <t>15/05/1995</t>
  </si>
  <si>
    <t>ASISTENTE</t>
  </si>
  <si>
    <t>XIMENA</t>
  </si>
  <si>
    <t>GUDIÑO</t>
  </si>
  <si>
    <t>COWARD</t>
  </si>
  <si>
    <t>11/12/1999</t>
  </si>
  <si>
    <t>Jaecoo</t>
  </si>
  <si>
    <t>J7</t>
  </si>
  <si>
    <t>ARTAVIA</t>
  </si>
  <si>
    <t>04/09/1987</t>
  </si>
  <si>
    <t>ODONTOLOGO/DENTISTA</t>
  </si>
  <si>
    <t>ALONSO</t>
  </si>
  <si>
    <t>ARIAS</t>
  </si>
  <si>
    <t>NUÑEZ</t>
  </si>
  <si>
    <t>10/11/1997</t>
  </si>
  <si>
    <t>NUTRICIONISTA</t>
  </si>
  <si>
    <t>Fronx</t>
  </si>
  <si>
    <t>DERIAN</t>
  </si>
  <si>
    <t>HIDALGO</t>
  </si>
  <si>
    <t>23/03/1995</t>
  </si>
  <si>
    <t>MORAVIA</t>
  </si>
  <si>
    <t>AURELIO</t>
  </si>
  <si>
    <t>POCHET</t>
  </si>
  <si>
    <t>VINDAS</t>
  </si>
  <si>
    <t>05/06/1982</t>
  </si>
  <si>
    <t>GERENTE GENERAL</t>
  </si>
  <si>
    <t>Frontier</t>
  </si>
  <si>
    <t>FERNANDEZ</t>
  </si>
  <si>
    <t>18/04/1996</t>
  </si>
  <si>
    <t>TELEFONISTA</t>
  </si>
  <si>
    <t>RUIZ</t>
  </si>
  <si>
    <t>FALLAS</t>
  </si>
  <si>
    <t>25/01/1986</t>
  </si>
  <si>
    <t>PUBLICISTA</t>
  </si>
  <si>
    <t>AutoStar Vehículos S.A</t>
  </si>
  <si>
    <t>Volvo</t>
  </si>
  <si>
    <t>EX30 CORE</t>
  </si>
  <si>
    <t>Récord negativo de pago en el reporte del CIC</t>
  </si>
  <si>
    <t>AGUILAR</t>
  </si>
  <si>
    <t>PANIAGUA</t>
  </si>
  <si>
    <t>27/07/1970</t>
  </si>
  <si>
    <t>PSICOLOGO</t>
  </si>
  <si>
    <t>GUÁPILES</t>
  </si>
  <si>
    <t>QUESADA</t>
  </si>
  <si>
    <t>HERRA</t>
  </si>
  <si>
    <t>18/04/1976</t>
  </si>
  <si>
    <t>VIUDO(A)</t>
  </si>
  <si>
    <t>Geometry E</t>
  </si>
  <si>
    <t>LUIS</t>
  </si>
  <si>
    <t>DIEGO</t>
  </si>
  <si>
    <t>ORTIZ</t>
  </si>
  <si>
    <t>17/03/1989</t>
  </si>
  <si>
    <t>ADMINISTRACION DE RECURSOS HUMANOS</t>
  </si>
  <si>
    <t>JARA</t>
  </si>
  <si>
    <t>19/01/1988</t>
  </si>
  <si>
    <t>ENFERMERO (A)</t>
  </si>
  <si>
    <t>03/04/1976</t>
  </si>
  <si>
    <t>Isuzu</t>
  </si>
  <si>
    <t>Dimax</t>
  </si>
  <si>
    <t>BARQUERO</t>
  </si>
  <si>
    <t>06/12/1995</t>
  </si>
  <si>
    <t>PROFESOR</t>
  </si>
  <si>
    <t>VALLE</t>
  </si>
  <si>
    <t>RIZO</t>
  </si>
  <si>
    <t>14/05/1990</t>
  </si>
  <si>
    <t>COMERCIANTE</t>
  </si>
  <si>
    <t>PASAPERA</t>
  </si>
  <si>
    <t>28/09/1987</t>
  </si>
  <si>
    <t>29/03/2025</t>
  </si>
  <si>
    <t>YAJAIRA</t>
  </si>
  <si>
    <t>PORRAS</t>
  </si>
  <si>
    <t>23/09/1989</t>
  </si>
  <si>
    <t>COORDINADOR DE SALUD</t>
  </si>
  <si>
    <t>Cori Car</t>
  </si>
  <si>
    <t>Chery</t>
  </si>
  <si>
    <t>TIGGO 2 PRO MAX</t>
  </si>
  <si>
    <t>HERNANDEZ</t>
  </si>
  <si>
    <t>25/06/1991</t>
  </si>
  <si>
    <t>ENCARGADO DE PERSONAL</t>
  </si>
  <si>
    <t>DENISHA</t>
  </si>
  <si>
    <t>MONTERROSA</t>
  </si>
  <si>
    <t>30/04/1992</t>
  </si>
  <si>
    <t>JUEZ</t>
  </si>
  <si>
    <t>UNI -T</t>
  </si>
  <si>
    <t>ARELLANO</t>
  </si>
  <si>
    <t>07/04/1991</t>
  </si>
  <si>
    <t>ARQUITECTO URBANISTA</t>
  </si>
  <si>
    <t>CASTRILLO</t>
  </si>
  <si>
    <t>04/06/1980</t>
  </si>
  <si>
    <t>GreatWall</t>
  </si>
  <si>
    <t>POER</t>
  </si>
  <si>
    <t>30/03/2025</t>
  </si>
  <si>
    <t>VILLALOBOS</t>
  </si>
  <si>
    <t>16/11/1971</t>
  </si>
  <si>
    <t>VILLEGAS</t>
  </si>
  <si>
    <t>HERRERA</t>
  </si>
  <si>
    <t>18/11/1994</t>
  </si>
  <si>
    <t>21/04/1994</t>
  </si>
  <si>
    <t>CLAUDIA</t>
  </si>
  <si>
    <t>RICARDO</t>
  </si>
  <si>
    <t>ELENA</t>
  </si>
  <si>
    <t>JUAN</t>
  </si>
  <si>
    <t>JAVIER</t>
  </si>
  <si>
    <t>SOFIA</t>
  </si>
  <si>
    <t>ROSA</t>
  </si>
  <si>
    <t>PATRICIO</t>
  </si>
  <si>
    <t>CARLA</t>
  </si>
  <si>
    <t>DE JESUS</t>
  </si>
  <si>
    <t>HAZEL</t>
  </si>
  <si>
    <t>ROSAURA</t>
  </si>
  <si>
    <t>MICHAELA</t>
  </si>
  <si>
    <t>ROBERTO</t>
  </si>
  <si>
    <t>ELIZABETH</t>
  </si>
  <si>
    <t>USUARIO01</t>
  </si>
  <si>
    <t>USUARIO02</t>
  </si>
  <si>
    <t>USUARIO03</t>
  </si>
  <si>
    <t>USUARIO04</t>
  </si>
  <si>
    <t>USUARIO05</t>
  </si>
  <si>
    <t>USUARIO06</t>
  </si>
  <si>
    <t>USUARIO07</t>
  </si>
  <si>
    <t>USUARIO08</t>
  </si>
  <si>
    <t>USUARIO09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</si>
  <si>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</si>
  <si>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</si>
  <si>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</si>
  <si>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</si>
  <si>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</si>
  <si>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</si>
  <si>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</si>
  <si>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</si>
  <si>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</si>
  <si>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</si>
  <si>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USUARIO20</t>
  </si>
  <si>
    <t>USUARIO21</t>
  </si>
  <si>
    <t>USUARIO22</t>
  </si>
  <si>
    <t>USUARIO23</t>
  </si>
  <si>
    <t>USUARIO24</t>
  </si>
  <si>
    <t>USUARIO25</t>
  </si>
  <si>
    <t>USUARIO26</t>
  </si>
  <si>
    <t>USUARIO27</t>
  </si>
  <si>
    <t>USUARIO28</t>
  </si>
  <si>
    <t>USUARIO29</t>
  </si>
  <si>
    <t>USUARIO30</t>
  </si>
  <si>
    <t>USUARIO31</t>
  </si>
  <si>
    <t>USUARIO32</t>
  </si>
  <si>
    <t>USUARIO33</t>
  </si>
  <si>
    <t>USUARIO34</t>
  </si>
  <si>
    <t>USUARIO35</t>
  </si>
  <si>
    <t>USUARIO36</t>
  </si>
  <si>
    <t>USUARIO37</t>
  </si>
  <si>
    <t>USUARIO38</t>
  </si>
  <si>
    <t>USUARIO39</t>
  </si>
  <si>
    <t>USUARIO40</t>
  </si>
  <si>
    <t>USUARIO41</t>
  </si>
  <si>
    <t>USUARIO42</t>
  </si>
  <si>
    <t>USUARIO43</t>
  </si>
  <si>
    <t>USUARIO44</t>
  </si>
  <si>
    <t>USUARIO45</t>
  </si>
  <si>
    <t>USUARIO46</t>
  </si>
  <si>
    <t>USUARIO47</t>
  </si>
  <si>
    <t>USUARIO48</t>
  </si>
  <si>
    <t>USUARIO49</t>
  </si>
  <si>
    <t>USUARIO50</t>
  </si>
  <si>
    <t>USUARIO51</t>
  </si>
  <si>
    <t>USUARIO52</t>
  </si>
  <si>
    <t>USUARIO53</t>
  </si>
  <si>
    <t>USUARIO54</t>
  </si>
  <si>
    <t>USUARIO55</t>
  </si>
  <si>
    <t>USUARIO56</t>
  </si>
  <si>
    <t>USUARIO57</t>
  </si>
  <si>
    <t>USUARIO58</t>
  </si>
  <si>
    <t>USUARIO59</t>
  </si>
  <si>
    <t>USUARIO60</t>
  </si>
  <si>
    <t>USUARIO61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</si>
</sst>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  <xf numFmtId="49" fontId="0" fillId="0" borderId="0" xfId="0" applyNumberFormat="1"/>
    <xf numFmtId="43" fontId="0" fillId="0" borderId="0" xfId="1" applyFont="1" applyFill="1" applyBorder="1"/>
    <xf numFmtId="1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2"/>
  <sheetViews>
    <sheetView tabSelected="1" topLeftCell="AO1" workbookViewId="0">
      <selection activeCell="AV9" sqref="AV9"/>
    </sheetView>
  </sheetViews>
  <sheetFormatPr baseColWidth="10" defaultRowHeight="14.4" x14ac:dyDescent="0.3"/>
  <cols>
    <col min="1" max="2" width="11.6640625" customWidth="1"/>
    <col min="3" max="3" width="22.109375" customWidth="1"/>
    <col min="4" max="4" width="20.88671875" customWidth="1"/>
    <col min="5" max="5" width="9.109375" customWidth="1"/>
    <col min="6" max="6" width="15.5546875" customWidth="1"/>
    <col min="7" max="7" width="18.109375" customWidth="1"/>
    <col min="8" max="8" width="29.88671875" customWidth="1"/>
    <col min="9" max="9" width="16.88671875" customWidth="1"/>
    <col min="10" max="10" width="18.109375" customWidth="1"/>
    <col min="11" max="11" width="19.44140625" customWidth="1"/>
    <col min="12" max="12" width="20.88671875" customWidth="1"/>
    <col min="13" max="13" width="11.6640625" customWidth="1"/>
    <col min="14" max="15" width="16.88671875" customWidth="1"/>
    <col min="16" max="16" width="20.88671875" customWidth="1"/>
    <col min="17" max="17" width="46.88671875" customWidth="1"/>
    <col min="18" max="18" width="20.88671875" customWidth="1"/>
    <col min="19" max="19" width="13" customWidth="1"/>
    <col min="20" max="20" width="48.109375" customWidth="1"/>
    <col min="21" max="21" width="15.5546875" customWidth="1"/>
    <col min="22" max="22" width="23.44140625" customWidth="1"/>
    <col min="23" max="23" width="40.33203125" customWidth="1"/>
    <col min="24" max="24" width="22.109375" customWidth="1"/>
    <col min="25" max="25" width="29.88671875" customWidth="1"/>
    <col min="26" max="26" width="37.6640625" customWidth="1"/>
    <col min="27" max="27" width="18.109375" customWidth="1"/>
    <col min="28" max="28" width="130" customWidth="1"/>
    <col min="29" max="29" width="28.5546875" customWidth="1"/>
    <col min="30" max="30" width="18.109375" customWidth="1"/>
    <col min="31" max="31" width="29.88671875" customWidth="1"/>
    <col min="32" max="32" width="15.5546875" customWidth="1"/>
    <col min="33" max="33" width="9.109375" customWidth="1"/>
    <col min="34" max="34" width="16.88671875" customWidth="1"/>
    <col min="35" max="35" width="18.109375" customWidth="1"/>
    <col min="36" max="36" width="15.5546875" customWidth="1"/>
    <col min="37" max="37" width="13" customWidth="1"/>
    <col min="38" max="38" width="18.109375" customWidth="1"/>
    <col min="39" max="39" width="24.6640625" customWidth="1"/>
    <col min="40" max="40" width="23.44140625" customWidth="1"/>
    <col min="41" max="41" width="18.109375" style="6" customWidth="1"/>
    <col min="42" max="42" width="14.33203125" customWidth="1"/>
    <col min="43" max="43" width="9.109375" customWidth="1"/>
    <col min="44" max="44" width="14.33203125" style="6" customWidth="1"/>
    <col min="45" max="45" width="18.109375" customWidth="1"/>
    <col min="46" max="46" width="18.109375" style="6" customWidth="1"/>
    <col min="47" max="47" width="20.88671875" style="6" customWidth="1"/>
    <col min="48" max="48" width="15.5546875" customWidth="1"/>
    <col min="49" max="49" width="18.109375" customWidth="1"/>
    <col min="50" max="50" width="27.33203125" customWidth="1"/>
    <col min="51" max="51" width="22.109375" customWidth="1"/>
    <col min="52" max="52" width="16.88671875" customWidth="1"/>
    <col min="53" max="53" width="14.33203125" customWidth="1"/>
    <col min="54" max="54" width="20.88671875" customWidth="1"/>
    <col min="55" max="55" width="61.109375" customWidth="1"/>
    <col min="56" max="56" width="20.88671875" customWidth="1"/>
    <col min="57" max="57" width="22.109375" customWidth="1"/>
    <col min="58" max="58" width="49.44140625" customWidth="1"/>
    <col min="59" max="59" width="54.5546875" customWidth="1"/>
  </cols>
  <sheetData>
    <row r="1" spans="1:59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4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2">
        <v>13946</v>
      </c>
      <c r="B2" s="2">
        <v>231</v>
      </c>
      <c r="C2" t="s">
        <v>59</v>
      </c>
      <c r="D2" t="s">
        <v>60</v>
      </c>
      <c r="F2" t="s">
        <v>61</v>
      </c>
      <c r="G2" s="5">
        <v>116936333</v>
      </c>
      <c r="H2" t="s">
        <v>62</v>
      </c>
      <c r="I2" t="s">
        <v>412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S2" t="s">
        <v>70</v>
      </c>
      <c r="T2" t="s">
        <v>427</v>
      </c>
      <c r="U2" s="2">
        <v>11656</v>
      </c>
      <c r="V2" s="2">
        <v>1</v>
      </c>
      <c r="W2" t="s">
        <v>427</v>
      </c>
      <c r="Z2" t="s">
        <v>71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s="2">
        <v>2025</v>
      </c>
      <c r="AK2" s="3">
        <v>3.25</v>
      </c>
      <c r="AL2" s="3">
        <v>30</v>
      </c>
      <c r="AM2" s="2">
        <v>84</v>
      </c>
      <c r="AN2" s="2">
        <v>0</v>
      </c>
      <c r="AO2" s="6">
        <v>29900</v>
      </c>
      <c r="AP2" s="3">
        <v>501.74</v>
      </c>
      <c r="AQ2" s="3">
        <v>42</v>
      </c>
      <c r="AR2" s="6">
        <v>12558</v>
      </c>
      <c r="AS2" s="3">
        <v>584.79999999999995</v>
      </c>
      <c r="AT2" s="6">
        <v>17993.98</v>
      </c>
      <c r="AU2" s="6">
        <v>17342</v>
      </c>
      <c r="AV2" s="7">
        <v>46128</v>
      </c>
      <c r="AW2" s="3">
        <v>367.69</v>
      </c>
      <c r="AX2" t="s">
        <v>82</v>
      </c>
      <c r="AY2" t="s">
        <v>80</v>
      </c>
      <c r="BB2" t="s">
        <v>83</v>
      </c>
      <c r="BD2" t="s">
        <v>84</v>
      </c>
      <c r="BE2" s="3">
        <v>2000</v>
      </c>
    </row>
    <row r="3" spans="1:59" x14ac:dyDescent="0.3">
      <c r="A3" s="2">
        <v>13997</v>
      </c>
      <c r="B3" s="2">
        <v>232</v>
      </c>
      <c r="C3" t="s">
        <v>59</v>
      </c>
      <c r="D3" t="s">
        <v>60</v>
      </c>
      <c r="F3" t="s">
        <v>61</v>
      </c>
      <c r="G3" s="5">
        <v>205905795</v>
      </c>
      <c r="H3" t="s">
        <v>62</v>
      </c>
      <c r="I3" t="s">
        <v>363</v>
      </c>
      <c r="K3" t="s">
        <v>85</v>
      </c>
      <c r="L3" t="s">
        <v>86</v>
      </c>
      <c r="M3" t="s">
        <v>87</v>
      </c>
      <c r="N3" t="s">
        <v>88</v>
      </c>
      <c r="O3" t="s">
        <v>67</v>
      </c>
      <c r="P3" t="s">
        <v>89</v>
      </c>
      <c r="Q3" t="s">
        <v>90</v>
      </c>
      <c r="S3" t="s">
        <v>70</v>
      </c>
      <c r="T3" t="s">
        <v>428</v>
      </c>
      <c r="U3" s="2">
        <v>11713</v>
      </c>
      <c r="V3" s="2">
        <v>2</v>
      </c>
      <c r="W3" t="s">
        <v>428</v>
      </c>
      <c r="Z3" t="s">
        <v>71</v>
      </c>
      <c r="AA3" t="s">
        <v>72</v>
      </c>
      <c r="AB3" t="s">
        <v>91</v>
      </c>
      <c r="AC3" t="s">
        <v>92</v>
      </c>
      <c r="AD3" t="s">
        <v>93</v>
      </c>
      <c r="AE3" t="s">
        <v>94</v>
      </c>
      <c r="AF3" t="s">
        <v>77</v>
      </c>
      <c r="AG3" t="s">
        <v>78</v>
      </c>
      <c r="AH3" t="s">
        <v>79</v>
      </c>
      <c r="AI3" t="s">
        <v>80</v>
      </c>
      <c r="AJ3" s="2">
        <v>2025</v>
      </c>
      <c r="AK3" s="3">
        <v>3.25</v>
      </c>
      <c r="AL3" s="3">
        <v>20</v>
      </c>
      <c r="AM3" s="2">
        <v>96</v>
      </c>
      <c r="AN3" s="2">
        <v>0</v>
      </c>
      <c r="AO3" s="6">
        <v>24690</v>
      </c>
      <c r="AP3" s="3">
        <v>501.15</v>
      </c>
      <c r="AQ3" s="3">
        <v>34.43</v>
      </c>
      <c r="AR3" s="6">
        <v>8500</v>
      </c>
      <c r="AS3" s="3">
        <v>546.05999999999995</v>
      </c>
      <c r="AT3" s="6">
        <v>16801.990000000002</v>
      </c>
      <c r="AU3" s="6">
        <v>16190</v>
      </c>
      <c r="AV3" s="7">
        <v>46134</v>
      </c>
      <c r="AW3" s="3">
        <v>302.58999999999997</v>
      </c>
      <c r="AX3" t="s">
        <v>82</v>
      </c>
      <c r="AY3" t="s">
        <v>80</v>
      </c>
      <c r="BB3" t="s">
        <v>83</v>
      </c>
      <c r="BD3" t="s">
        <v>84</v>
      </c>
      <c r="BE3" s="3">
        <v>2000</v>
      </c>
      <c r="BF3" s="2">
        <v>5</v>
      </c>
      <c r="BG3" t="s">
        <v>99</v>
      </c>
    </row>
    <row r="4" spans="1:59" x14ac:dyDescent="0.3">
      <c r="A4" s="2">
        <v>14015</v>
      </c>
      <c r="B4" s="2">
        <v>233</v>
      </c>
      <c r="C4" t="s">
        <v>59</v>
      </c>
      <c r="D4" t="s">
        <v>60</v>
      </c>
      <c r="E4" s="2">
        <v>36980</v>
      </c>
      <c r="F4" t="s">
        <v>100</v>
      </c>
      <c r="G4" s="5">
        <v>401177237</v>
      </c>
      <c r="H4" t="s">
        <v>101</v>
      </c>
      <c r="I4" t="s">
        <v>195</v>
      </c>
      <c r="J4" t="s">
        <v>418</v>
      </c>
      <c r="K4" t="s">
        <v>102</v>
      </c>
      <c r="L4" t="s">
        <v>103</v>
      </c>
      <c r="M4" t="s">
        <v>65</v>
      </c>
      <c r="N4" t="s">
        <v>88</v>
      </c>
      <c r="O4" t="s">
        <v>104</v>
      </c>
      <c r="P4" t="s">
        <v>105</v>
      </c>
      <c r="Q4" t="s">
        <v>106</v>
      </c>
      <c r="R4" s="2">
        <v>2</v>
      </c>
      <c r="S4" t="s">
        <v>70</v>
      </c>
      <c r="T4" t="s">
        <v>429</v>
      </c>
      <c r="U4" s="2">
        <v>11713</v>
      </c>
      <c r="V4" s="2">
        <v>3</v>
      </c>
      <c r="W4" t="s">
        <v>429</v>
      </c>
      <c r="Z4" t="s">
        <v>71</v>
      </c>
      <c r="AA4" t="s">
        <v>72</v>
      </c>
      <c r="AB4" t="s">
        <v>91</v>
      </c>
      <c r="AC4" t="s">
        <v>107</v>
      </c>
      <c r="AD4" t="s">
        <v>108</v>
      </c>
      <c r="AE4" t="s">
        <v>109</v>
      </c>
      <c r="AF4" t="s">
        <v>77</v>
      </c>
      <c r="AG4" t="s">
        <v>78</v>
      </c>
      <c r="AH4" t="s">
        <v>79</v>
      </c>
      <c r="AI4" t="s">
        <v>80</v>
      </c>
      <c r="AJ4" s="2">
        <v>2025</v>
      </c>
      <c r="AK4" s="3">
        <v>3.5</v>
      </c>
      <c r="AL4" s="3">
        <v>20</v>
      </c>
      <c r="AM4" s="2">
        <v>96</v>
      </c>
      <c r="AN4" s="2">
        <v>0</v>
      </c>
      <c r="AO4" s="6">
        <v>30625</v>
      </c>
      <c r="AP4" s="3">
        <v>501.74</v>
      </c>
      <c r="AQ4" s="3">
        <v>40</v>
      </c>
      <c r="AR4" s="6">
        <v>12250</v>
      </c>
      <c r="AS4" s="3">
        <v>666.68</v>
      </c>
      <c r="AT4" s="6">
        <v>19048.080000000002</v>
      </c>
      <c r="AU4" s="6">
        <v>18375</v>
      </c>
      <c r="AV4" s="7">
        <v>46128</v>
      </c>
      <c r="AW4" s="3">
        <v>276.67</v>
      </c>
      <c r="AX4" t="s">
        <v>80</v>
      </c>
      <c r="AY4" t="s">
        <v>80</v>
      </c>
      <c r="BB4" t="s">
        <v>110</v>
      </c>
      <c r="BE4" s="3">
        <v>0</v>
      </c>
    </row>
    <row r="5" spans="1:59" x14ac:dyDescent="0.3">
      <c r="A5" s="2">
        <v>14020</v>
      </c>
      <c r="B5" s="2">
        <v>234</v>
      </c>
      <c r="C5" t="s">
        <v>59</v>
      </c>
      <c r="D5" t="s">
        <v>60</v>
      </c>
      <c r="E5" s="2">
        <v>570894</v>
      </c>
      <c r="F5" t="s">
        <v>100</v>
      </c>
      <c r="G5" s="5">
        <v>113883321</v>
      </c>
      <c r="H5" t="s">
        <v>101</v>
      </c>
      <c r="I5" t="s">
        <v>287</v>
      </c>
      <c r="K5" t="s">
        <v>111</v>
      </c>
      <c r="L5" t="s">
        <v>112</v>
      </c>
      <c r="M5" t="s">
        <v>87</v>
      </c>
      <c r="N5" t="s">
        <v>88</v>
      </c>
      <c r="O5" t="s">
        <v>104</v>
      </c>
      <c r="P5" t="s">
        <v>113</v>
      </c>
      <c r="Q5" t="s">
        <v>114</v>
      </c>
      <c r="R5" s="2">
        <v>1</v>
      </c>
      <c r="S5" t="s">
        <v>70</v>
      </c>
      <c r="T5" t="s">
        <v>430</v>
      </c>
      <c r="U5" s="2">
        <v>11713</v>
      </c>
      <c r="V5" s="2">
        <v>4</v>
      </c>
      <c r="W5" t="s">
        <v>430</v>
      </c>
      <c r="Z5" t="s">
        <v>71</v>
      </c>
      <c r="AA5" t="s">
        <v>72</v>
      </c>
      <c r="AB5" t="s">
        <v>115</v>
      </c>
      <c r="AC5" t="s">
        <v>116</v>
      </c>
      <c r="AD5" t="s">
        <v>117</v>
      </c>
      <c r="AE5" t="s">
        <v>118</v>
      </c>
      <c r="AF5" t="s">
        <v>77</v>
      </c>
      <c r="AG5" t="s">
        <v>78</v>
      </c>
      <c r="AH5" t="s">
        <v>79</v>
      </c>
      <c r="AI5" t="s">
        <v>80</v>
      </c>
      <c r="AJ5" s="2">
        <v>2025</v>
      </c>
      <c r="AK5" s="3">
        <v>3.5</v>
      </c>
      <c r="AL5" s="3">
        <v>15</v>
      </c>
      <c r="AM5" s="2">
        <v>96</v>
      </c>
      <c r="AN5" s="2">
        <v>0</v>
      </c>
      <c r="AO5" s="6">
        <v>33900</v>
      </c>
      <c r="AP5" s="3">
        <v>501.74</v>
      </c>
      <c r="AQ5" s="3">
        <v>30</v>
      </c>
      <c r="AR5" s="6">
        <v>10170</v>
      </c>
      <c r="AS5" s="3">
        <v>863.94</v>
      </c>
      <c r="AT5" s="6">
        <v>24683.94</v>
      </c>
      <c r="AU5" s="6">
        <v>23730</v>
      </c>
      <c r="AV5" s="7">
        <v>46128</v>
      </c>
      <c r="AW5" s="3">
        <v>440.24</v>
      </c>
      <c r="AX5" t="s">
        <v>82</v>
      </c>
      <c r="AY5" t="s">
        <v>80</v>
      </c>
      <c r="BB5" t="s">
        <v>119</v>
      </c>
      <c r="BC5" t="s">
        <v>120</v>
      </c>
      <c r="BE5" s="3">
        <v>0</v>
      </c>
    </row>
    <row r="6" spans="1:59" x14ac:dyDescent="0.3">
      <c r="A6" s="2">
        <v>14056</v>
      </c>
      <c r="B6" s="2">
        <v>235</v>
      </c>
      <c r="C6" t="s">
        <v>59</v>
      </c>
      <c r="D6" t="s">
        <v>60</v>
      </c>
      <c r="E6" s="2">
        <v>360436</v>
      </c>
      <c r="F6" t="s">
        <v>100</v>
      </c>
      <c r="G6" s="5">
        <v>401498213</v>
      </c>
      <c r="H6" t="s">
        <v>101</v>
      </c>
      <c r="I6" t="s">
        <v>413</v>
      </c>
      <c r="J6" t="s">
        <v>419</v>
      </c>
      <c r="K6" t="s">
        <v>123</v>
      </c>
      <c r="L6" t="s">
        <v>124</v>
      </c>
      <c r="M6" t="s">
        <v>87</v>
      </c>
      <c r="N6" t="s">
        <v>88</v>
      </c>
      <c r="O6" t="s">
        <v>104</v>
      </c>
      <c r="P6" t="s">
        <v>125</v>
      </c>
      <c r="Q6" t="s">
        <v>126</v>
      </c>
      <c r="R6" s="2">
        <v>2</v>
      </c>
      <c r="S6" t="s">
        <v>127</v>
      </c>
      <c r="T6" t="s">
        <v>431</v>
      </c>
      <c r="U6" s="2">
        <v>5590</v>
      </c>
      <c r="V6" s="2">
        <v>5</v>
      </c>
      <c r="W6" t="s">
        <v>431</v>
      </c>
      <c r="Z6" t="s">
        <v>71</v>
      </c>
      <c r="AA6" t="s">
        <v>72</v>
      </c>
      <c r="AB6" t="s">
        <v>128</v>
      </c>
      <c r="AC6" t="s">
        <v>129</v>
      </c>
      <c r="AD6" t="s">
        <v>75</v>
      </c>
      <c r="AE6" t="s">
        <v>130</v>
      </c>
      <c r="AF6" t="s">
        <v>77</v>
      </c>
      <c r="AG6" t="s">
        <v>78</v>
      </c>
      <c r="AH6" t="s">
        <v>79</v>
      </c>
      <c r="AI6" t="s">
        <v>80</v>
      </c>
      <c r="AJ6" s="2">
        <v>2025</v>
      </c>
      <c r="AK6" s="3">
        <v>3.25</v>
      </c>
      <c r="AL6" s="3">
        <v>20</v>
      </c>
      <c r="AM6" s="2">
        <v>96</v>
      </c>
      <c r="AN6" s="2">
        <v>0</v>
      </c>
      <c r="AO6" s="6">
        <v>25900</v>
      </c>
      <c r="AP6" s="3">
        <v>503.04</v>
      </c>
      <c r="AQ6" s="3">
        <v>30</v>
      </c>
      <c r="AR6" s="6">
        <v>7770</v>
      </c>
      <c r="AS6" s="3">
        <v>611.53</v>
      </c>
      <c r="AT6" s="6">
        <v>18816.23</v>
      </c>
      <c r="AU6" s="6">
        <v>18130</v>
      </c>
      <c r="AV6" s="7">
        <v>46129</v>
      </c>
      <c r="AW6" s="3">
        <v>339.24</v>
      </c>
      <c r="AX6" t="s">
        <v>82</v>
      </c>
      <c r="AY6" t="s">
        <v>80</v>
      </c>
      <c r="BB6" t="s">
        <v>119</v>
      </c>
      <c r="BC6" t="s">
        <v>132</v>
      </c>
      <c r="BE6" s="3">
        <v>0</v>
      </c>
    </row>
    <row r="7" spans="1:59" x14ac:dyDescent="0.3">
      <c r="A7" s="2">
        <v>14059</v>
      </c>
      <c r="B7" s="2">
        <v>236</v>
      </c>
      <c r="C7" t="s">
        <v>59</v>
      </c>
      <c r="D7" t="s">
        <v>60</v>
      </c>
      <c r="E7" s="2">
        <v>360436</v>
      </c>
      <c r="F7" t="s">
        <v>100</v>
      </c>
      <c r="G7" s="5">
        <v>401495166</v>
      </c>
      <c r="H7" t="s">
        <v>101</v>
      </c>
      <c r="I7" t="s">
        <v>195</v>
      </c>
      <c r="J7" t="s">
        <v>122</v>
      </c>
      <c r="K7" t="s">
        <v>123</v>
      </c>
      <c r="L7" t="s">
        <v>124</v>
      </c>
      <c r="M7" t="s">
        <v>87</v>
      </c>
      <c r="N7" t="s">
        <v>88</v>
      </c>
      <c r="O7" t="s">
        <v>104</v>
      </c>
      <c r="P7" t="s">
        <v>125</v>
      </c>
      <c r="Q7" t="s">
        <v>126</v>
      </c>
      <c r="R7" s="2">
        <v>2</v>
      </c>
      <c r="S7" t="s">
        <v>127</v>
      </c>
      <c r="T7" t="s">
        <v>432</v>
      </c>
      <c r="U7" s="2">
        <v>5590</v>
      </c>
      <c r="V7" s="2">
        <v>6</v>
      </c>
      <c r="W7" t="s">
        <v>432</v>
      </c>
      <c r="Z7" t="s">
        <v>71</v>
      </c>
      <c r="AA7" t="s">
        <v>72</v>
      </c>
      <c r="AB7" t="s">
        <v>128</v>
      </c>
      <c r="AC7" t="s">
        <v>74</v>
      </c>
      <c r="AD7" t="s">
        <v>75</v>
      </c>
      <c r="AE7" t="s">
        <v>76</v>
      </c>
      <c r="AF7" t="s">
        <v>77</v>
      </c>
      <c r="AG7" t="s">
        <v>78</v>
      </c>
      <c r="AH7" t="s">
        <v>79</v>
      </c>
      <c r="AI7" t="s">
        <v>80</v>
      </c>
      <c r="AJ7" s="2">
        <v>2025</v>
      </c>
      <c r="AK7" s="3">
        <v>3.25</v>
      </c>
      <c r="AL7" s="3">
        <v>20</v>
      </c>
      <c r="AM7" s="2">
        <v>96</v>
      </c>
      <c r="AN7" s="2">
        <v>0</v>
      </c>
      <c r="AO7" s="6">
        <v>33900</v>
      </c>
      <c r="AP7" s="3">
        <v>503.04</v>
      </c>
      <c r="AQ7" s="3">
        <v>30</v>
      </c>
      <c r="AR7" s="6">
        <v>10170</v>
      </c>
      <c r="AS7" s="3">
        <v>799.98</v>
      </c>
      <c r="AT7" s="6">
        <v>24614.86</v>
      </c>
      <c r="AU7" s="6">
        <v>23730</v>
      </c>
      <c r="AV7" s="7">
        <v>46129</v>
      </c>
      <c r="AW7" s="3">
        <v>430.95</v>
      </c>
      <c r="AX7" t="s">
        <v>82</v>
      </c>
      <c r="AY7" t="s">
        <v>80</v>
      </c>
      <c r="BB7" t="s">
        <v>119</v>
      </c>
      <c r="BC7" t="s">
        <v>132</v>
      </c>
      <c r="BE7" s="3">
        <v>0</v>
      </c>
    </row>
    <row r="8" spans="1:59" x14ac:dyDescent="0.3">
      <c r="A8" s="2">
        <v>14063</v>
      </c>
      <c r="B8" s="2">
        <v>237</v>
      </c>
      <c r="C8" t="s">
        <v>59</v>
      </c>
      <c r="D8" t="s">
        <v>60</v>
      </c>
      <c r="F8" t="s">
        <v>61</v>
      </c>
      <c r="G8" s="5">
        <v>305340537</v>
      </c>
      <c r="H8" t="s">
        <v>62</v>
      </c>
      <c r="I8" t="s">
        <v>414</v>
      </c>
      <c r="J8" t="s">
        <v>133</v>
      </c>
      <c r="K8" t="s">
        <v>134</v>
      </c>
      <c r="L8" t="s">
        <v>135</v>
      </c>
      <c r="M8" t="s">
        <v>87</v>
      </c>
      <c r="N8" t="s">
        <v>66</v>
      </c>
      <c r="O8" t="s">
        <v>67</v>
      </c>
      <c r="P8" t="s">
        <v>136</v>
      </c>
      <c r="Q8" t="s">
        <v>137</v>
      </c>
      <c r="S8" t="s">
        <v>138</v>
      </c>
      <c r="T8" t="s">
        <v>433</v>
      </c>
      <c r="U8" s="2">
        <v>4636</v>
      </c>
      <c r="V8" s="2">
        <v>7</v>
      </c>
      <c r="W8" t="s">
        <v>433</v>
      </c>
      <c r="Z8" t="s">
        <v>71</v>
      </c>
      <c r="AA8" t="s">
        <v>72</v>
      </c>
      <c r="AB8" t="s">
        <v>128</v>
      </c>
      <c r="AC8" t="s">
        <v>107</v>
      </c>
      <c r="AD8" t="s">
        <v>108</v>
      </c>
      <c r="AE8" t="s">
        <v>139</v>
      </c>
      <c r="AF8" t="s">
        <v>77</v>
      </c>
      <c r="AG8" t="s">
        <v>78</v>
      </c>
      <c r="AH8" t="s">
        <v>79</v>
      </c>
      <c r="AI8" t="s">
        <v>80</v>
      </c>
      <c r="AJ8" s="2">
        <v>2025</v>
      </c>
      <c r="AK8" s="3">
        <v>3.25</v>
      </c>
      <c r="AL8" s="3">
        <v>20</v>
      </c>
      <c r="AM8" s="2">
        <v>96</v>
      </c>
      <c r="AN8" s="2">
        <v>0</v>
      </c>
      <c r="AO8" s="6">
        <v>26426</v>
      </c>
      <c r="AP8" s="3">
        <v>503.04</v>
      </c>
      <c r="AQ8" s="3">
        <v>20</v>
      </c>
      <c r="AR8" s="6">
        <v>5285.2</v>
      </c>
      <c r="AS8" s="3">
        <v>712.27</v>
      </c>
      <c r="AT8" s="6">
        <v>21916.13</v>
      </c>
      <c r="AU8" s="6">
        <v>21140.81</v>
      </c>
      <c r="AV8" s="7">
        <v>46129</v>
      </c>
      <c r="AW8" s="3">
        <v>371.18</v>
      </c>
      <c r="AX8" t="s">
        <v>80</v>
      </c>
      <c r="AY8" t="s">
        <v>80</v>
      </c>
      <c r="BB8" t="s">
        <v>119</v>
      </c>
      <c r="BC8" t="s">
        <v>140</v>
      </c>
      <c r="BD8" t="s">
        <v>141</v>
      </c>
      <c r="BE8" s="3">
        <v>0</v>
      </c>
    </row>
    <row r="9" spans="1:59" x14ac:dyDescent="0.3">
      <c r="A9" s="2">
        <v>14064</v>
      </c>
      <c r="B9" s="2">
        <v>238</v>
      </c>
      <c r="C9" t="s">
        <v>59</v>
      </c>
      <c r="D9" t="s">
        <v>60</v>
      </c>
      <c r="E9" s="2">
        <v>1044243</v>
      </c>
      <c r="F9" t="s">
        <v>100</v>
      </c>
      <c r="G9" s="5">
        <v>117168822</v>
      </c>
      <c r="H9" t="s">
        <v>101</v>
      </c>
      <c r="I9" t="s">
        <v>415</v>
      </c>
      <c r="J9" t="s">
        <v>142</v>
      </c>
      <c r="K9" t="s">
        <v>143</v>
      </c>
      <c r="L9" t="s">
        <v>135</v>
      </c>
      <c r="M9" t="s">
        <v>65</v>
      </c>
      <c r="N9" t="s">
        <v>66</v>
      </c>
      <c r="O9" t="s">
        <v>104</v>
      </c>
      <c r="P9" t="s">
        <v>144</v>
      </c>
      <c r="Q9" t="s">
        <v>90</v>
      </c>
      <c r="R9" s="2">
        <v>7</v>
      </c>
      <c r="S9" t="s">
        <v>145</v>
      </c>
      <c r="T9" t="s">
        <v>434</v>
      </c>
      <c r="U9" s="2">
        <v>11422</v>
      </c>
      <c r="V9" s="2">
        <v>8</v>
      </c>
      <c r="W9" t="s">
        <v>434</v>
      </c>
      <c r="Z9" t="s">
        <v>71</v>
      </c>
      <c r="AA9" t="s">
        <v>72</v>
      </c>
      <c r="AB9" t="s">
        <v>146</v>
      </c>
      <c r="AC9" t="s">
        <v>147</v>
      </c>
      <c r="AD9" t="s">
        <v>148</v>
      </c>
      <c r="AE9" t="s">
        <v>149</v>
      </c>
      <c r="AF9" t="s">
        <v>77</v>
      </c>
      <c r="AG9" t="s">
        <v>78</v>
      </c>
      <c r="AH9" t="s">
        <v>79</v>
      </c>
      <c r="AI9" t="s">
        <v>80</v>
      </c>
      <c r="AJ9" s="2">
        <v>2025</v>
      </c>
      <c r="AK9" s="3">
        <v>3.5</v>
      </c>
      <c r="AL9" s="3">
        <v>15</v>
      </c>
      <c r="AM9" s="2">
        <v>96</v>
      </c>
      <c r="AN9" s="2">
        <v>0</v>
      </c>
      <c r="AO9" s="6">
        <v>31250</v>
      </c>
      <c r="AP9" s="3">
        <v>503.04</v>
      </c>
      <c r="AQ9" s="3">
        <v>20</v>
      </c>
      <c r="AR9" s="6">
        <v>6250</v>
      </c>
      <c r="AS9" s="3">
        <v>909.25</v>
      </c>
      <c r="AT9" s="6">
        <v>25978.560000000001</v>
      </c>
      <c r="AU9" s="6">
        <v>25000</v>
      </c>
      <c r="AV9" s="7">
        <v>46129</v>
      </c>
      <c r="AW9" s="3">
        <v>437.91</v>
      </c>
      <c r="AX9" t="s">
        <v>82</v>
      </c>
      <c r="AY9" t="s">
        <v>80</v>
      </c>
      <c r="BB9" t="s">
        <v>83</v>
      </c>
      <c r="BD9" t="s">
        <v>84</v>
      </c>
      <c r="BE9" s="3">
        <v>4500</v>
      </c>
    </row>
    <row r="10" spans="1:59" x14ac:dyDescent="0.3">
      <c r="A10" s="2">
        <v>14066</v>
      </c>
      <c r="B10" s="2">
        <v>239</v>
      </c>
      <c r="C10" t="s">
        <v>59</v>
      </c>
      <c r="D10" t="s">
        <v>60</v>
      </c>
      <c r="E10" s="2">
        <v>1020604</v>
      </c>
      <c r="F10" t="s">
        <v>100</v>
      </c>
      <c r="G10" s="5">
        <v>118414436</v>
      </c>
      <c r="H10" t="s">
        <v>101</v>
      </c>
      <c r="I10" t="s">
        <v>413</v>
      </c>
      <c r="J10" t="s">
        <v>150</v>
      </c>
      <c r="K10" t="s">
        <v>151</v>
      </c>
      <c r="L10" t="s">
        <v>152</v>
      </c>
      <c r="M10" t="s">
        <v>65</v>
      </c>
      <c r="N10" t="s">
        <v>66</v>
      </c>
      <c r="O10" t="s">
        <v>104</v>
      </c>
      <c r="P10" t="s">
        <v>153</v>
      </c>
      <c r="Q10" t="s">
        <v>137</v>
      </c>
      <c r="R10" s="2">
        <v>1</v>
      </c>
      <c r="S10" t="s">
        <v>154</v>
      </c>
      <c r="T10" t="s">
        <v>435</v>
      </c>
      <c r="U10" s="2">
        <v>7997</v>
      </c>
      <c r="V10" s="2">
        <v>9</v>
      </c>
      <c r="W10" t="s">
        <v>435</v>
      </c>
      <c r="Z10" t="s">
        <v>71</v>
      </c>
      <c r="AA10" t="s">
        <v>72</v>
      </c>
      <c r="AB10" t="s">
        <v>91</v>
      </c>
      <c r="AC10" t="s">
        <v>107</v>
      </c>
      <c r="AD10" t="s">
        <v>108</v>
      </c>
      <c r="AE10" t="s">
        <v>155</v>
      </c>
      <c r="AF10" t="s">
        <v>77</v>
      </c>
      <c r="AG10" t="s">
        <v>78</v>
      </c>
      <c r="AH10" t="s">
        <v>79</v>
      </c>
      <c r="AI10" t="s">
        <v>80</v>
      </c>
      <c r="AJ10" s="2">
        <v>2025</v>
      </c>
      <c r="AK10" s="3">
        <v>3.5</v>
      </c>
      <c r="AL10" s="3">
        <v>20</v>
      </c>
      <c r="AM10" s="2">
        <v>96</v>
      </c>
      <c r="AN10" s="2">
        <v>0</v>
      </c>
      <c r="AO10" s="6">
        <v>45000</v>
      </c>
      <c r="AP10" s="3">
        <v>502.76</v>
      </c>
      <c r="AQ10" s="3">
        <v>50</v>
      </c>
      <c r="AR10" s="6">
        <v>22500</v>
      </c>
      <c r="AS10" s="3">
        <v>819.44</v>
      </c>
      <c r="AT10" s="6">
        <v>23412.5</v>
      </c>
      <c r="AU10" s="6">
        <v>22500</v>
      </c>
      <c r="AV10" s="7">
        <v>46130</v>
      </c>
      <c r="AW10" s="3">
        <v>422.83</v>
      </c>
      <c r="AX10" t="s">
        <v>80</v>
      </c>
      <c r="AY10" t="s">
        <v>80</v>
      </c>
      <c r="BB10" t="s">
        <v>119</v>
      </c>
      <c r="BC10" t="s">
        <v>132</v>
      </c>
      <c r="BE10" s="3">
        <v>0</v>
      </c>
    </row>
    <row r="11" spans="1:59" x14ac:dyDescent="0.3">
      <c r="A11" s="2">
        <v>14084</v>
      </c>
      <c r="B11" s="2">
        <v>240</v>
      </c>
      <c r="C11" t="s">
        <v>59</v>
      </c>
      <c r="D11" t="s">
        <v>60</v>
      </c>
      <c r="E11" s="2">
        <v>822062</v>
      </c>
      <c r="F11" t="s">
        <v>100</v>
      </c>
      <c r="G11" s="5">
        <v>117437963</v>
      </c>
      <c r="H11" t="s">
        <v>101</v>
      </c>
      <c r="I11" t="s">
        <v>413</v>
      </c>
      <c r="J11" t="s">
        <v>158</v>
      </c>
      <c r="K11" t="s">
        <v>159</v>
      </c>
      <c r="L11" t="s">
        <v>160</v>
      </c>
      <c r="M11" t="s">
        <v>65</v>
      </c>
      <c r="N11" t="s">
        <v>66</v>
      </c>
      <c r="O11" t="s">
        <v>104</v>
      </c>
      <c r="P11" t="s">
        <v>161</v>
      </c>
      <c r="Q11" t="s">
        <v>162</v>
      </c>
      <c r="R11" s="2">
        <v>1</v>
      </c>
      <c r="S11" t="s">
        <v>163</v>
      </c>
      <c r="T11" t="s">
        <v>436</v>
      </c>
      <c r="U11" s="2">
        <v>11720</v>
      </c>
      <c r="V11" s="2">
        <v>10</v>
      </c>
      <c r="W11" t="s">
        <v>436</v>
      </c>
      <c r="Z11" t="s">
        <v>71</v>
      </c>
      <c r="AA11" t="s">
        <v>72</v>
      </c>
      <c r="AB11" t="s">
        <v>164</v>
      </c>
      <c r="AC11" t="s">
        <v>92</v>
      </c>
      <c r="AD11" t="s">
        <v>165</v>
      </c>
      <c r="AE11" t="s">
        <v>166</v>
      </c>
      <c r="AF11" t="s">
        <v>77</v>
      </c>
      <c r="AG11" t="s">
        <v>78</v>
      </c>
      <c r="AH11" t="s">
        <v>79</v>
      </c>
      <c r="AI11" t="s">
        <v>80</v>
      </c>
      <c r="AJ11" s="2">
        <v>2025</v>
      </c>
      <c r="AK11" s="3">
        <v>3.5</v>
      </c>
      <c r="AL11" s="3">
        <v>15</v>
      </c>
      <c r="AM11" s="2">
        <v>96</v>
      </c>
      <c r="AN11" s="2">
        <v>0</v>
      </c>
      <c r="AO11" s="6">
        <v>36250</v>
      </c>
      <c r="AP11" s="3">
        <v>503.04</v>
      </c>
      <c r="AQ11" s="3">
        <v>71.72</v>
      </c>
      <c r="AR11" s="6">
        <v>26000</v>
      </c>
      <c r="AS11" s="3">
        <v>374.76</v>
      </c>
      <c r="AT11" s="6">
        <v>10707.44</v>
      </c>
      <c r="AU11" s="6">
        <v>10250</v>
      </c>
      <c r="AV11" s="7">
        <v>46129</v>
      </c>
      <c r="AW11" s="3">
        <v>229.11</v>
      </c>
      <c r="AX11" t="s">
        <v>82</v>
      </c>
      <c r="AY11" t="s">
        <v>80</v>
      </c>
      <c r="BB11" t="s">
        <v>83</v>
      </c>
      <c r="BD11" t="s">
        <v>84</v>
      </c>
      <c r="BE11" s="3">
        <v>2000</v>
      </c>
    </row>
    <row r="12" spans="1:59" x14ac:dyDescent="0.3">
      <c r="A12" s="2">
        <v>14118</v>
      </c>
      <c r="B12" s="2">
        <v>241</v>
      </c>
      <c r="C12" t="s">
        <v>59</v>
      </c>
      <c r="D12" t="s">
        <v>60</v>
      </c>
      <c r="E12" s="2">
        <v>843102</v>
      </c>
      <c r="F12" t="s">
        <v>100</v>
      </c>
      <c r="G12" s="5">
        <v>303764164</v>
      </c>
      <c r="H12" t="s">
        <v>101</v>
      </c>
      <c r="I12" t="s">
        <v>416</v>
      </c>
      <c r="J12" t="s">
        <v>157</v>
      </c>
      <c r="K12" t="s">
        <v>167</v>
      </c>
      <c r="L12" t="s">
        <v>168</v>
      </c>
      <c r="M12" t="s">
        <v>65</v>
      </c>
      <c r="N12" t="s">
        <v>66</v>
      </c>
      <c r="O12" t="s">
        <v>104</v>
      </c>
      <c r="P12" t="s">
        <v>169</v>
      </c>
      <c r="Q12" t="s">
        <v>170</v>
      </c>
      <c r="R12" s="2">
        <v>7</v>
      </c>
      <c r="S12" t="s">
        <v>171</v>
      </c>
      <c r="T12" t="s">
        <v>437</v>
      </c>
      <c r="U12" s="2">
        <v>11769</v>
      </c>
      <c r="V12" s="2">
        <v>11</v>
      </c>
      <c r="W12" t="s">
        <v>437</v>
      </c>
      <c r="Z12" t="s">
        <v>71</v>
      </c>
      <c r="AA12" t="s">
        <v>72</v>
      </c>
      <c r="AB12" t="s">
        <v>128</v>
      </c>
      <c r="AC12" t="s">
        <v>172</v>
      </c>
      <c r="AD12" t="s">
        <v>173</v>
      </c>
      <c r="AE12" t="s">
        <v>174</v>
      </c>
      <c r="AF12" t="s">
        <v>77</v>
      </c>
      <c r="AG12" t="s">
        <v>78</v>
      </c>
      <c r="AH12" t="s">
        <v>79</v>
      </c>
      <c r="AI12" t="s">
        <v>80</v>
      </c>
      <c r="AJ12" s="2">
        <v>2025</v>
      </c>
      <c r="AK12" s="3">
        <v>3.25</v>
      </c>
      <c r="AL12" s="3">
        <v>20</v>
      </c>
      <c r="AM12" s="2">
        <v>96</v>
      </c>
      <c r="AN12" s="2">
        <v>0</v>
      </c>
      <c r="AO12" s="6">
        <v>65900</v>
      </c>
      <c r="AP12" s="3">
        <v>503.04</v>
      </c>
      <c r="AQ12" s="3">
        <v>20</v>
      </c>
      <c r="AR12" s="6">
        <v>13180</v>
      </c>
      <c r="AS12" s="3">
        <v>1775.12</v>
      </c>
      <c r="AT12" s="6">
        <v>54619.03</v>
      </c>
      <c r="AU12" s="6">
        <v>52720</v>
      </c>
      <c r="AV12" s="7">
        <v>46129</v>
      </c>
      <c r="AW12" s="3">
        <v>891.82</v>
      </c>
      <c r="AX12" t="s">
        <v>82</v>
      </c>
      <c r="AY12" t="s">
        <v>80</v>
      </c>
      <c r="BB12" t="s">
        <v>175</v>
      </c>
      <c r="BD12" t="s">
        <v>176</v>
      </c>
      <c r="BE12" s="3">
        <v>0</v>
      </c>
    </row>
    <row r="13" spans="1:59" x14ac:dyDescent="0.3">
      <c r="A13" s="2">
        <v>14129</v>
      </c>
      <c r="B13" s="2">
        <v>242</v>
      </c>
      <c r="C13" t="s">
        <v>59</v>
      </c>
      <c r="D13" t="s">
        <v>60</v>
      </c>
      <c r="F13" t="s">
        <v>61</v>
      </c>
      <c r="G13" s="5">
        <v>115041462</v>
      </c>
      <c r="H13" t="s">
        <v>62</v>
      </c>
      <c r="I13" t="s">
        <v>414</v>
      </c>
      <c r="K13" t="s">
        <v>177</v>
      </c>
      <c r="L13" t="s">
        <v>178</v>
      </c>
      <c r="M13" t="s">
        <v>87</v>
      </c>
      <c r="N13" t="s">
        <v>66</v>
      </c>
      <c r="O13" t="s">
        <v>67</v>
      </c>
      <c r="P13" t="s">
        <v>179</v>
      </c>
      <c r="Q13" t="s">
        <v>180</v>
      </c>
      <c r="S13" t="s">
        <v>163</v>
      </c>
      <c r="T13" t="s">
        <v>438</v>
      </c>
      <c r="U13" s="2">
        <v>11720</v>
      </c>
      <c r="V13" s="2">
        <v>12</v>
      </c>
      <c r="W13" t="s">
        <v>438</v>
      </c>
      <c r="Z13" t="s">
        <v>71</v>
      </c>
      <c r="AA13" t="s">
        <v>72</v>
      </c>
      <c r="AB13" t="s">
        <v>91</v>
      </c>
      <c r="AC13" t="s">
        <v>92</v>
      </c>
      <c r="AD13" t="s">
        <v>165</v>
      </c>
      <c r="AE13" t="s">
        <v>166</v>
      </c>
      <c r="AF13" t="s">
        <v>77</v>
      </c>
      <c r="AG13" t="s">
        <v>78</v>
      </c>
      <c r="AH13" t="s">
        <v>79</v>
      </c>
      <c r="AI13" t="s">
        <v>80</v>
      </c>
      <c r="AJ13" s="2">
        <v>2025</v>
      </c>
      <c r="AK13" s="3">
        <v>3.25</v>
      </c>
      <c r="AL13" s="3">
        <v>20</v>
      </c>
      <c r="AM13" s="2">
        <v>96</v>
      </c>
      <c r="AN13" s="2">
        <v>0</v>
      </c>
      <c r="AO13" s="6">
        <v>32790</v>
      </c>
      <c r="AP13" s="3">
        <v>501.88</v>
      </c>
      <c r="AQ13" s="3">
        <v>20</v>
      </c>
      <c r="AR13" s="6">
        <v>6558</v>
      </c>
      <c r="AS13" s="3">
        <v>883.67</v>
      </c>
      <c r="AT13" s="6">
        <v>27189.919999999998</v>
      </c>
      <c r="AU13" s="6">
        <v>26232</v>
      </c>
      <c r="AV13" s="7">
        <v>46135</v>
      </c>
      <c r="AW13" s="3">
        <v>457.23</v>
      </c>
      <c r="AX13" t="s">
        <v>82</v>
      </c>
      <c r="AY13" t="s">
        <v>80</v>
      </c>
      <c r="BB13" t="s">
        <v>83</v>
      </c>
      <c r="BD13" t="s">
        <v>84</v>
      </c>
      <c r="BE13" s="3">
        <v>3000</v>
      </c>
      <c r="BF13" s="2">
        <v>2</v>
      </c>
      <c r="BG13" t="s">
        <v>97</v>
      </c>
    </row>
    <row r="14" spans="1:59" x14ac:dyDescent="0.3">
      <c r="A14" s="2">
        <v>14149</v>
      </c>
      <c r="B14" s="2">
        <v>243</v>
      </c>
      <c r="C14" t="s">
        <v>59</v>
      </c>
      <c r="D14" t="s">
        <v>60</v>
      </c>
      <c r="E14" s="2">
        <v>1044366</v>
      </c>
      <c r="F14" t="s">
        <v>100</v>
      </c>
      <c r="G14" s="5">
        <v>901152138</v>
      </c>
      <c r="H14" t="s">
        <v>101</v>
      </c>
      <c r="I14" t="s">
        <v>417</v>
      </c>
      <c r="J14" t="s">
        <v>420</v>
      </c>
      <c r="K14" t="s">
        <v>182</v>
      </c>
      <c r="L14" t="s">
        <v>183</v>
      </c>
      <c r="M14" t="s">
        <v>65</v>
      </c>
      <c r="N14" t="s">
        <v>66</v>
      </c>
      <c r="O14" t="s">
        <v>104</v>
      </c>
      <c r="P14" t="s">
        <v>184</v>
      </c>
      <c r="Q14" t="s">
        <v>185</v>
      </c>
      <c r="R14" s="2">
        <v>7</v>
      </c>
      <c r="S14" t="s">
        <v>186</v>
      </c>
      <c r="T14" t="s">
        <v>439</v>
      </c>
      <c r="U14" s="2">
        <v>10985</v>
      </c>
      <c r="V14" s="2">
        <v>13</v>
      </c>
      <c r="W14" t="s">
        <v>439</v>
      </c>
      <c r="Z14" t="s">
        <v>71</v>
      </c>
      <c r="AA14" t="s">
        <v>72</v>
      </c>
      <c r="AB14" t="s">
        <v>91</v>
      </c>
      <c r="AC14" t="s">
        <v>187</v>
      </c>
      <c r="AD14" t="s">
        <v>188</v>
      </c>
      <c r="AE14" t="s">
        <v>189</v>
      </c>
      <c r="AF14" t="s">
        <v>77</v>
      </c>
      <c r="AG14" t="s">
        <v>78</v>
      </c>
      <c r="AH14" t="s">
        <v>79</v>
      </c>
      <c r="AI14" t="s">
        <v>80</v>
      </c>
      <c r="AJ14" s="2">
        <v>2025</v>
      </c>
      <c r="AK14" s="3">
        <v>3.5</v>
      </c>
      <c r="AL14" s="3">
        <v>20</v>
      </c>
      <c r="AM14" s="2">
        <v>96</v>
      </c>
      <c r="AN14" s="2">
        <v>0</v>
      </c>
      <c r="AO14" s="6">
        <v>33400</v>
      </c>
      <c r="AP14" s="3">
        <v>503.04</v>
      </c>
      <c r="AQ14" s="3">
        <v>20</v>
      </c>
      <c r="AR14" s="6">
        <v>6680</v>
      </c>
      <c r="AS14" s="3">
        <v>971.76</v>
      </c>
      <c r="AT14" s="6">
        <v>27764.46</v>
      </c>
      <c r="AU14" s="6">
        <v>26720</v>
      </c>
      <c r="AV14" s="7">
        <v>46129</v>
      </c>
      <c r="AW14" s="3">
        <v>463.77</v>
      </c>
      <c r="AX14" t="s">
        <v>82</v>
      </c>
      <c r="AY14" t="s">
        <v>80</v>
      </c>
      <c r="BB14" t="s">
        <v>83</v>
      </c>
      <c r="BD14" t="s">
        <v>84</v>
      </c>
      <c r="BE14" s="3">
        <v>6000</v>
      </c>
    </row>
    <row r="15" spans="1:59" x14ac:dyDescent="0.3">
      <c r="A15" s="2">
        <v>14174</v>
      </c>
      <c r="B15" s="2">
        <v>244</v>
      </c>
      <c r="C15" t="s">
        <v>59</v>
      </c>
      <c r="D15" t="s">
        <v>60</v>
      </c>
      <c r="F15" t="s">
        <v>61</v>
      </c>
      <c r="G15" s="5">
        <v>402045945</v>
      </c>
      <c r="H15" t="s">
        <v>62</v>
      </c>
      <c r="I15" t="s">
        <v>412</v>
      </c>
      <c r="J15" t="s">
        <v>190</v>
      </c>
      <c r="K15" t="s">
        <v>85</v>
      </c>
      <c r="L15" t="s">
        <v>191</v>
      </c>
      <c r="M15" t="s">
        <v>87</v>
      </c>
      <c r="N15" t="s">
        <v>66</v>
      </c>
      <c r="O15" t="s">
        <v>67</v>
      </c>
      <c r="P15" t="s">
        <v>192</v>
      </c>
      <c r="Q15" t="s">
        <v>90</v>
      </c>
      <c r="S15" t="s">
        <v>193</v>
      </c>
      <c r="T15" t="s">
        <v>440</v>
      </c>
      <c r="U15" s="2">
        <v>6350</v>
      </c>
      <c r="V15" s="2">
        <v>14</v>
      </c>
      <c r="W15" t="s">
        <v>440</v>
      </c>
      <c r="Z15" t="s">
        <v>71</v>
      </c>
      <c r="AA15" t="s">
        <v>72</v>
      </c>
      <c r="AB15" t="s">
        <v>91</v>
      </c>
      <c r="AC15" t="s">
        <v>92</v>
      </c>
      <c r="AD15" t="s">
        <v>165</v>
      </c>
      <c r="AE15" t="s">
        <v>194</v>
      </c>
      <c r="AF15" t="s">
        <v>77</v>
      </c>
      <c r="AG15" t="s">
        <v>78</v>
      </c>
      <c r="AH15" t="s">
        <v>79</v>
      </c>
      <c r="AI15" t="s">
        <v>80</v>
      </c>
      <c r="AJ15" s="2">
        <v>2025</v>
      </c>
      <c r="AK15" s="3">
        <v>3.5</v>
      </c>
      <c r="AL15" s="3">
        <v>20</v>
      </c>
      <c r="AM15" s="2">
        <v>96</v>
      </c>
      <c r="AN15" s="2">
        <v>0</v>
      </c>
      <c r="AO15" s="6">
        <v>23490</v>
      </c>
      <c r="AP15" s="3">
        <v>502.76</v>
      </c>
      <c r="AQ15" s="3">
        <v>20</v>
      </c>
      <c r="AR15" s="6">
        <v>4698</v>
      </c>
      <c r="AS15" s="3">
        <v>683.73</v>
      </c>
      <c r="AT15" s="6">
        <v>19535.240000000002</v>
      </c>
      <c r="AU15" s="6">
        <v>18792</v>
      </c>
      <c r="AV15" s="7">
        <v>46130</v>
      </c>
      <c r="AW15" s="3">
        <v>334.67</v>
      </c>
      <c r="AX15" t="s">
        <v>82</v>
      </c>
      <c r="AY15" t="s">
        <v>80</v>
      </c>
      <c r="BB15" t="s">
        <v>83</v>
      </c>
      <c r="BD15" t="s">
        <v>84</v>
      </c>
      <c r="BE15" s="3">
        <v>3000</v>
      </c>
    </row>
    <row r="16" spans="1:59" x14ac:dyDescent="0.3">
      <c r="A16" s="2">
        <v>14182</v>
      </c>
      <c r="B16" s="2">
        <v>245</v>
      </c>
      <c r="C16" t="s">
        <v>59</v>
      </c>
      <c r="D16" t="s">
        <v>60</v>
      </c>
      <c r="E16" s="2">
        <v>839494</v>
      </c>
      <c r="F16" t="s">
        <v>100</v>
      </c>
      <c r="G16" s="5">
        <v>117584664</v>
      </c>
      <c r="H16" t="s">
        <v>101</v>
      </c>
      <c r="I16" t="s">
        <v>413</v>
      </c>
      <c r="J16" t="s">
        <v>121</v>
      </c>
      <c r="K16" t="s">
        <v>196</v>
      </c>
      <c r="L16" t="s">
        <v>197</v>
      </c>
      <c r="M16" t="s">
        <v>87</v>
      </c>
      <c r="N16" t="s">
        <v>66</v>
      </c>
      <c r="O16" t="s">
        <v>104</v>
      </c>
      <c r="P16" t="s">
        <v>198</v>
      </c>
      <c r="Q16" t="s">
        <v>137</v>
      </c>
      <c r="R16" s="2">
        <v>2</v>
      </c>
      <c r="S16" t="s">
        <v>199</v>
      </c>
      <c r="T16" t="s">
        <v>441</v>
      </c>
      <c r="U16" s="2">
        <v>6957</v>
      </c>
      <c r="V16" s="2">
        <v>15</v>
      </c>
      <c r="W16" t="s">
        <v>441</v>
      </c>
      <c r="Z16" t="s">
        <v>71</v>
      </c>
      <c r="AA16" t="s">
        <v>72</v>
      </c>
      <c r="AB16" t="s">
        <v>91</v>
      </c>
      <c r="AC16" t="s">
        <v>200</v>
      </c>
      <c r="AD16" t="s">
        <v>201</v>
      </c>
      <c r="AE16" t="s">
        <v>202</v>
      </c>
      <c r="AF16" t="s">
        <v>77</v>
      </c>
      <c r="AG16" t="s">
        <v>78</v>
      </c>
      <c r="AH16" t="s">
        <v>79</v>
      </c>
      <c r="AI16" t="s">
        <v>80</v>
      </c>
      <c r="AJ16" s="2">
        <v>2025</v>
      </c>
      <c r="AK16" s="3">
        <v>3.25</v>
      </c>
      <c r="AL16" s="3">
        <v>20</v>
      </c>
      <c r="AM16" s="2">
        <v>84</v>
      </c>
      <c r="AN16" s="2">
        <v>0</v>
      </c>
      <c r="AO16" s="6">
        <v>25500</v>
      </c>
      <c r="AP16" s="3">
        <v>502.76</v>
      </c>
      <c r="AQ16" s="3">
        <v>27.45</v>
      </c>
      <c r="AR16" s="6">
        <v>7000</v>
      </c>
      <c r="AS16" s="3">
        <v>623.47</v>
      </c>
      <c r="AT16" s="6">
        <v>19183.72</v>
      </c>
      <c r="AU16" s="6">
        <v>18500</v>
      </c>
      <c r="AV16" s="7">
        <v>46130</v>
      </c>
      <c r="AW16" s="3">
        <v>358.28</v>
      </c>
      <c r="AX16" t="s">
        <v>82</v>
      </c>
      <c r="AY16" t="s">
        <v>80</v>
      </c>
      <c r="BB16" t="s">
        <v>83</v>
      </c>
      <c r="BD16" t="s">
        <v>84</v>
      </c>
      <c r="BE16" s="3">
        <v>2500</v>
      </c>
    </row>
    <row r="17" spans="1:59" x14ac:dyDescent="0.3">
      <c r="A17" s="2">
        <v>14183</v>
      </c>
      <c r="B17" s="2">
        <v>246</v>
      </c>
      <c r="C17" t="s">
        <v>59</v>
      </c>
      <c r="D17" t="s">
        <v>60</v>
      </c>
      <c r="F17" t="s">
        <v>61</v>
      </c>
      <c r="G17" s="5">
        <v>118317574</v>
      </c>
      <c r="H17" t="s">
        <v>62</v>
      </c>
      <c r="I17" t="s">
        <v>416</v>
      </c>
      <c r="J17" t="s">
        <v>204</v>
      </c>
      <c r="K17" t="s">
        <v>205</v>
      </c>
      <c r="L17" t="s">
        <v>206</v>
      </c>
      <c r="M17" t="s">
        <v>65</v>
      </c>
      <c r="N17" t="s">
        <v>66</v>
      </c>
      <c r="O17" t="s">
        <v>67</v>
      </c>
      <c r="P17" t="s">
        <v>207</v>
      </c>
      <c r="Q17" t="s">
        <v>137</v>
      </c>
      <c r="S17" t="s">
        <v>70</v>
      </c>
      <c r="T17" t="s">
        <v>442</v>
      </c>
      <c r="U17" s="2">
        <v>11713</v>
      </c>
      <c r="V17" s="2">
        <v>16</v>
      </c>
      <c r="W17" t="s">
        <v>442</v>
      </c>
      <c r="Z17" t="s">
        <v>71</v>
      </c>
      <c r="AA17" t="s">
        <v>72</v>
      </c>
      <c r="AB17" t="s">
        <v>115</v>
      </c>
      <c r="AC17" t="s">
        <v>116</v>
      </c>
      <c r="AD17" t="s">
        <v>208</v>
      </c>
      <c r="AE17" t="s">
        <v>209</v>
      </c>
      <c r="AF17" t="s">
        <v>77</v>
      </c>
      <c r="AG17" t="s">
        <v>78</v>
      </c>
      <c r="AH17" t="s">
        <v>79</v>
      </c>
      <c r="AI17" t="s">
        <v>80</v>
      </c>
      <c r="AJ17" s="2">
        <v>2025</v>
      </c>
      <c r="AK17" s="3">
        <v>3.25</v>
      </c>
      <c r="AL17" s="3">
        <v>15</v>
      </c>
      <c r="AM17" s="2">
        <v>96</v>
      </c>
      <c r="AN17" s="2">
        <v>0</v>
      </c>
      <c r="AO17" s="6">
        <v>29900</v>
      </c>
      <c r="AP17" s="3">
        <v>501.88</v>
      </c>
      <c r="AQ17" s="3">
        <v>20</v>
      </c>
      <c r="AR17" s="6">
        <v>5980</v>
      </c>
      <c r="AS17" s="3">
        <v>806.53</v>
      </c>
      <c r="AT17" s="6">
        <v>24816.31</v>
      </c>
      <c r="AU17" s="6">
        <v>23920</v>
      </c>
      <c r="AV17" s="7">
        <v>46135</v>
      </c>
      <c r="AW17" s="3">
        <v>439.32</v>
      </c>
      <c r="AX17" t="s">
        <v>82</v>
      </c>
      <c r="AY17" t="s">
        <v>82</v>
      </c>
      <c r="AZ17" t="s">
        <v>210</v>
      </c>
      <c r="BA17" t="s">
        <v>211</v>
      </c>
      <c r="BB17" t="s">
        <v>83</v>
      </c>
      <c r="BD17" t="s">
        <v>84</v>
      </c>
      <c r="BE17" s="3">
        <v>1200</v>
      </c>
      <c r="BF17" s="2">
        <v>5</v>
      </c>
      <c r="BG17" t="s">
        <v>99</v>
      </c>
    </row>
    <row r="18" spans="1:59" x14ac:dyDescent="0.3">
      <c r="A18" s="2">
        <v>14186</v>
      </c>
      <c r="B18" s="2">
        <v>247</v>
      </c>
      <c r="C18" t="s">
        <v>59</v>
      </c>
      <c r="D18" t="s">
        <v>60</v>
      </c>
      <c r="E18" s="2">
        <v>589236</v>
      </c>
      <c r="F18" t="s">
        <v>100</v>
      </c>
      <c r="G18" s="5">
        <v>111856349</v>
      </c>
      <c r="H18" t="s">
        <v>101</v>
      </c>
      <c r="I18" t="s">
        <v>417</v>
      </c>
      <c r="J18" t="s">
        <v>424</v>
      </c>
      <c r="K18" t="s">
        <v>215</v>
      </c>
      <c r="L18" t="s">
        <v>216</v>
      </c>
      <c r="M18" t="s">
        <v>65</v>
      </c>
      <c r="N18" t="s">
        <v>88</v>
      </c>
      <c r="O18" t="s">
        <v>104</v>
      </c>
      <c r="P18" t="s">
        <v>217</v>
      </c>
      <c r="Q18" t="s">
        <v>218</v>
      </c>
      <c r="R18" s="2">
        <v>2</v>
      </c>
      <c r="S18" t="s">
        <v>186</v>
      </c>
      <c r="T18" t="s">
        <v>443</v>
      </c>
      <c r="U18" s="2">
        <v>18018</v>
      </c>
      <c r="V18" s="2">
        <v>17</v>
      </c>
      <c r="W18" t="s">
        <v>443</v>
      </c>
      <c r="Z18" t="s">
        <v>71</v>
      </c>
      <c r="AA18" t="s">
        <v>72</v>
      </c>
      <c r="AB18" t="s">
        <v>91</v>
      </c>
      <c r="AC18" t="s">
        <v>219</v>
      </c>
      <c r="AD18" t="s">
        <v>165</v>
      </c>
      <c r="AE18" t="s">
        <v>166</v>
      </c>
      <c r="AF18" t="s">
        <v>77</v>
      </c>
      <c r="AG18" t="s">
        <v>78</v>
      </c>
      <c r="AH18" t="s">
        <v>79</v>
      </c>
      <c r="AI18" t="s">
        <v>80</v>
      </c>
      <c r="AJ18" s="2">
        <v>2025</v>
      </c>
      <c r="AK18" s="3">
        <v>3.25</v>
      </c>
      <c r="AL18" s="3">
        <v>20</v>
      </c>
      <c r="AM18" s="2">
        <v>96</v>
      </c>
      <c r="AN18" s="2">
        <v>0</v>
      </c>
      <c r="AO18" s="6">
        <v>36990</v>
      </c>
      <c r="AP18" s="3">
        <v>502.76</v>
      </c>
      <c r="AQ18" s="3">
        <v>40</v>
      </c>
      <c r="AR18" s="6">
        <v>14796</v>
      </c>
      <c r="AS18" s="3">
        <v>748.15</v>
      </c>
      <c r="AT18" s="6">
        <v>23020</v>
      </c>
      <c r="AU18" s="6">
        <v>22194</v>
      </c>
      <c r="AV18" s="7">
        <v>46130</v>
      </c>
      <c r="AW18" s="3">
        <v>402.09</v>
      </c>
      <c r="AX18" t="s">
        <v>80</v>
      </c>
      <c r="AY18" t="s">
        <v>80</v>
      </c>
      <c r="BB18" t="s">
        <v>110</v>
      </c>
      <c r="BE18" s="3">
        <v>0</v>
      </c>
    </row>
    <row r="19" spans="1:59" x14ac:dyDescent="0.3">
      <c r="A19" s="2">
        <v>14193</v>
      </c>
      <c r="B19" s="2">
        <v>248</v>
      </c>
      <c r="C19" t="s">
        <v>59</v>
      </c>
      <c r="D19" t="s">
        <v>60</v>
      </c>
      <c r="F19" t="s">
        <v>61</v>
      </c>
      <c r="G19" s="5">
        <v>108360082</v>
      </c>
      <c r="H19" t="s">
        <v>62</v>
      </c>
      <c r="I19" t="s">
        <v>415</v>
      </c>
      <c r="J19" t="s">
        <v>157</v>
      </c>
      <c r="K19" t="s">
        <v>220</v>
      </c>
      <c r="L19" t="s">
        <v>221</v>
      </c>
      <c r="M19" t="s">
        <v>65</v>
      </c>
      <c r="N19" t="s">
        <v>88</v>
      </c>
      <c r="O19" t="s">
        <v>67</v>
      </c>
      <c r="P19" t="s">
        <v>222</v>
      </c>
      <c r="Q19" t="s">
        <v>223</v>
      </c>
      <c r="S19" t="s">
        <v>154</v>
      </c>
      <c r="T19" t="s">
        <v>444</v>
      </c>
      <c r="U19" s="2">
        <v>17697</v>
      </c>
      <c r="V19" s="2">
        <v>18</v>
      </c>
      <c r="W19" t="s">
        <v>444</v>
      </c>
      <c r="Z19" t="s">
        <v>71</v>
      </c>
      <c r="AA19" t="s">
        <v>72</v>
      </c>
      <c r="AB19" t="s">
        <v>91</v>
      </c>
      <c r="AC19" t="s">
        <v>116</v>
      </c>
      <c r="AD19" t="s">
        <v>224</v>
      </c>
      <c r="AE19" t="s">
        <v>225</v>
      </c>
      <c r="AF19" t="s">
        <v>77</v>
      </c>
      <c r="AG19" t="s">
        <v>78</v>
      </c>
      <c r="AH19" t="s">
        <v>79</v>
      </c>
      <c r="AI19" t="s">
        <v>80</v>
      </c>
      <c r="AJ19" s="2">
        <v>2025</v>
      </c>
      <c r="AK19" s="3">
        <v>3.25</v>
      </c>
      <c r="AL19" s="3">
        <v>20</v>
      </c>
      <c r="AM19" s="2">
        <v>96</v>
      </c>
      <c r="AN19" s="2">
        <v>0</v>
      </c>
      <c r="AO19" s="6">
        <v>27600</v>
      </c>
      <c r="AP19" s="3">
        <v>502.76</v>
      </c>
      <c r="AQ19" s="3">
        <v>47</v>
      </c>
      <c r="AR19" s="6">
        <v>12972</v>
      </c>
      <c r="AS19" s="3">
        <v>493.13</v>
      </c>
      <c r="AT19" s="6">
        <v>15173.11</v>
      </c>
      <c r="AU19" s="6">
        <v>14628</v>
      </c>
      <c r="AV19" s="7">
        <v>46130</v>
      </c>
      <c r="AW19" s="3">
        <v>265.7</v>
      </c>
      <c r="AX19" t="s">
        <v>82</v>
      </c>
      <c r="AY19" t="s">
        <v>80</v>
      </c>
      <c r="BB19" t="s">
        <v>119</v>
      </c>
      <c r="BC19" t="s">
        <v>120</v>
      </c>
      <c r="BE19" s="3">
        <v>0</v>
      </c>
    </row>
    <row r="20" spans="1:59" x14ac:dyDescent="0.3">
      <c r="A20" s="2">
        <v>14194</v>
      </c>
      <c r="B20" s="2">
        <v>249</v>
      </c>
      <c r="C20" t="s">
        <v>59</v>
      </c>
      <c r="D20" t="s">
        <v>60</v>
      </c>
      <c r="F20" t="s">
        <v>61</v>
      </c>
      <c r="G20" s="5">
        <v>116295075</v>
      </c>
      <c r="H20" t="s">
        <v>62</v>
      </c>
      <c r="I20" t="s">
        <v>416</v>
      </c>
      <c r="J20" t="s">
        <v>421</v>
      </c>
      <c r="K20" t="s">
        <v>226</v>
      </c>
      <c r="L20" t="s">
        <v>227</v>
      </c>
      <c r="M20" t="s">
        <v>65</v>
      </c>
      <c r="N20" t="s">
        <v>66</v>
      </c>
      <c r="O20" t="s">
        <v>67</v>
      </c>
      <c r="P20" t="s">
        <v>228</v>
      </c>
      <c r="Q20" t="s">
        <v>229</v>
      </c>
      <c r="S20" t="s">
        <v>70</v>
      </c>
      <c r="T20" t="s">
        <v>445</v>
      </c>
      <c r="U20" s="2">
        <v>11713</v>
      </c>
      <c r="V20" s="2">
        <v>19</v>
      </c>
      <c r="W20" t="s">
        <v>445</v>
      </c>
      <c r="Z20" t="s">
        <v>71</v>
      </c>
      <c r="AA20" t="s">
        <v>72</v>
      </c>
      <c r="AB20" t="s">
        <v>91</v>
      </c>
      <c r="AC20" t="s">
        <v>116</v>
      </c>
      <c r="AD20" t="s">
        <v>208</v>
      </c>
      <c r="AE20" t="s">
        <v>230</v>
      </c>
      <c r="AF20" t="s">
        <v>77</v>
      </c>
      <c r="AG20" t="s">
        <v>78</v>
      </c>
      <c r="AH20" t="s">
        <v>79</v>
      </c>
      <c r="AI20" t="s">
        <v>80</v>
      </c>
      <c r="AJ20" s="2">
        <v>2024</v>
      </c>
      <c r="AK20" s="3">
        <v>3.25</v>
      </c>
      <c r="AL20" s="3">
        <v>20</v>
      </c>
      <c r="AM20" s="2">
        <v>96</v>
      </c>
      <c r="AN20" s="2">
        <v>0</v>
      </c>
      <c r="AO20" s="6">
        <v>37500</v>
      </c>
      <c r="AP20" s="3">
        <v>502.76</v>
      </c>
      <c r="AQ20" s="3">
        <v>40</v>
      </c>
      <c r="AR20" s="6">
        <v>15000</v>
      </c>
      <c r="AS20" s="3">
        <v>756.65</v>
      </c>
      <c r="AT20" s="6">
        <v>23281.42</v>
      </c>
      <c r="AU20" s="6">
        <v>22500</v>
      </c>
      <c r="AV20" s="7">
        <v>46130</v>
      </c>
      <c r="AW20" s="3">
        <v>352.69</v>
      </c>
      <c r="AX20" t="s">
        <v>80</v>
      </c>
      <c r="AY20" t="s">
        <v>80</v>
      </c>
      <c r="BB20" t="s">
        <v>119</v>
      </c>
      <c r="BC20" t="s">
        <v>231</v>
      </c>
      <c r="BD20" t="s">
        <v>141</v>
      </c>
      <c r="BE20" s="3">
        <v>0</v>
      </c>
    </row>
    <row r="21" spans="1:59" x14ac:dyDescent="0.3">
      <c r="A21" s="2">
        <v>14199</v>
      </c>
      <c r="B21" s="2">
        <v>250</v>
      </c>
      <c r="C21" t="s">
        <v>59</v>
      </c>
      <c r="D21" t="s">
        <v>60</v>
      </c>
      <c r="E21" s="2">
        <v>887879</v>
      </c>
      <c r="F21" t="s">
        <v>100</v>
      </c>
      <c r="G21" s="5">
        <v>115081349</v>
      </c>
      <c r="H21" t="s">
        <v>101</v>
      </c>
      <c r="I21" t="s">
        <v>363</v>
      </c>
      <c r="K21" t="s">
        <v>232</v>
      </c>
      <c r="L21" t="s">
        <v>233</v>
      </c>
      <c r="M21" t="s">
        <v>87</v>
      </c>
      <c r="N21" t="s">
        <v>66</v>
      </c>
      <c r="O21" t="s">
        <v>104</v>
      </c>
      <c r="P21" t="s">
        <v>234</v>
      </c>
      <c r="Q21" t="s">
        <v>235</v>
      </c>
      <c r="R21" s="2">
        <v>1</v>
      </c>
      <c r="S21" t="s">
        <v>236</v>
      </c>
      <c r="T21" t="s">
        <v>446</v>
      </c>
      <c r="U21" s="2">
        <v>7594</v>
      </c>
      <c r="V21" s="2">
        <v>20</v>
      </c>
      <c r="W21" t="s">
        <v>446</v>
      </c>
      <c r="Z21" t="s">
        <v>71</v>
      </c>
      <c r="AA21" t="s">
        <v>72</v>
      </c>
      <c r="AB21" t="s">
        <v>115</v>
      </c>
      <c r="AC21" t="s">
        <v>187</v>
      </c>
      <c r="AD21" t="s">
        <v>188</v>
      </c>
      <c r="AE21" t="s">
        <v>237</v>
      </c>
      <c r="AF21" t="s">
        <v>77</v>
      </c>
      <c r="AG21" t="s">
        <v>78</v>
      </c>
      <c r="AH21" t="s">
        <v>79</v>
      </c>
      <c r="AI21" t="s">
        <v>80</v>
      </c>
      <c r="AJ21" s="2">
        <v>2025</v>
      </c>
      <c r="AK21" s="3">
        <v>3.25</v>
      </c>
      <c r="AL21" s="3">
        <v>15</v>
      </c>
      <c r="AM21" s="2">
        <v>96</v>
      </c>
      <c r="AN21" s="2">
        <v>0</v>
      </c>
      <c r="AO21" s="6">
        <v>26900</v>
      </c>
      <c r="AP21" s="3">
        <v>502.95</v>
      </c>
      <c r="AQ21" s="3">
        <v>22.3</v>
      </c>
      <c r="AR21" s="6">
        <v>6000</v>
      </c>
      <c r="AS21" s="3">
        <v>704.92</v>
      </c>
      <c r="AT21" s="6">
        <v>21689.98</v>
      </c>
      <c r="AU21" s="6">
        <v>20900</v>
      </c>
      <c r="AV21" s="7">
        <v>46136</v>
      </c>
      <c r="AW21" s="3">
        <v>390.57</v>
      </c>
      <c r="AX21" t="s">
        <v>82</v>
      </c>
      <c r="AY21" t="s">
        <v>80</v>
      </c>
      <c r="BB21" t="s">
        <v>83</v>
      </c>
      <c r="BD21" t="s">
        <v>84</v>
      </c>
      <c r="BE21" s="3">
        <v>5000</v>
      </c>
      <c r="BF21" s="2">
        <v>1</v>
      </c>
      <c r="BG21" t="s">
        <v>212</v>
      </c>
    </row>
    <row r="22" spans="1:59" x14ac:dyDescent="0.3">
      <c r="A22" s="2">
        <v>14200</v>
      </c>
      <c r="B22" s="2">
        <v>251</v>
      </c>
      <c r="C22" t="s">
        <v>59</v>
      </c>
      <c r="D22" t="s">
        <v>60</v>
      </c>
      <c r="F22" t="s">
        <v>61</v>
      </c>
      <c r="G22" s="5">
        <v>207690384</v>
      </c>
      <c r="H22" t="s">
        <v>62</v>
      </c>
      <c r="I22" t="s">
        <v>413</v>
      </c>
      <c r="J22" t="s">
        <v>294</v>
      </c>
      <c r="K22" t="s">
        <v>239</v>
      </c>
      <c r="L22" t="s">
        <v>240</v>
      </c>
      <c r="M22" t="s">
        <v>87</v>
      </c>
      <c r="N22" t="s">
        <v>66</v>
      </c>
      <c r="O22" t="s">
        <v>67</v>
      </c>
      <c r="P22" t="s">
        <v>241</v>
      </c>
      <c r="Q22" t="s">
        <v>90</v>
      </c>
      <c r="S22" t="s">
        <v>127</v>
      </c>
      <c r="T22" t="s">
        <v>447</v>
      </c>
      <c r="U22" s="2">
        <v>5590</v>
      </c>
      <c r="V22" s="2">
        <v>21</v>
      </c>
      <c r="W22" t="s">
        <v>447</v>
      </c>
      <c r="Z22" t="s">
        <v>71</v>
      </c>
      <c r="AA22" t="s">
        <v>72</v>
      </c>
      <c r="AB22" t="s">
        <v>91</v>
      </c>
      <c r="AC22" t="s">
        <v>242</v>
      </c>
      <c r="AD22" t="s">
        <v>243</v>
      </c>
      <c r="AE22" t="s">
        <v>244</v>
      </c>
      <c r="AF22" t="s">
        <v>77</v>
      </c>
      <c r="AG22" t="s">
        <v>78</v>
      </c>
      <c r="AH22" t="s">
        <v>79</v>
      </c>
      <c r="AI22" t="s">
        <v>80</v>
      </c>
      <c r="AJ22" s="2">
        <v>2025</v>
      </c>
      <c r="AK22" s="3">
        <v>3.25</v>
      </c>
      <c r="AL22" s="3">
        <v>20</v>
      </c>
      <c r="AM22" s="2">
        <v>96</v>
      </c>
      <c r="AN22" s="2">
        <v>0</v>
      </c>
      <c r="AO22" s="6">
        <v>28740</v>
      </c>
      <c r="AP22" s="3">
        <v>502.76</v>
      </c>
      <c r="AQ22" s="3">
        <v>20.010000000000002</v>
      </c>
      <c r="AR22" s="6">
        <v>5750</v>
      </c>
      <c r="AS22" s="3">
        <v>774.47</v>
      </c>
      <c r="AT22" s="6">
        <v>23829.83</v>
      </c>
      <c r="AU22" s="6">
        <v>22990</v>
      </c>
      <c r="AV22" s="7">
        <v>46132</v>
      </c>
      <c r="AW22" s="3">
        <v>401.01</v>
      </c>
      <c r="AX22" t="s">
        <v>82</v>
      </c>
      <c r="AY22" t="s">
        <v>80</v>
      </c>
      <c r="BB22" t="s">
        <v>119</v>
      </c>
      <c r="BC22" t="s">
        <v>246</v>
      </c>
      <c r="BE22" s="3">
        <v>0</v>
      </c>
    </row>
    <row r="23" spans="1:59" x14ac:dyDescent="0.3">
      <c r="A23" s="2">
        <v>14204</v>
      </c>
      <c r="B23" s="2">
        <v>253</v>
      </c>
      <c r="C23" t="s">
        <v>59</v>
      </c>
      <c r="D23" t="s">
        <v>60</v>
      </c>
      <c r="E23" s="2">
        <v>589236</v>
      </c>
      <c r="F23" t="s">
        <v>100</v>
      </c>
      <c r="G23" s="5">
        <v>111854608</v>
      </c>
      <c r="H23" t="s">
        <v>101</v>
      </c>
      <c r="I23" t="s">
        <v>287</v>
      </c>
      <c r="J23" t="s">
        <v>214</v>
      </c>
      <c r="K23" t="s">
        <v>215</v>
      </c>
      <c r="L23" t="s">
        <v>216</v>
      </c>
      <c r="M23" t="s">
        <v>65</v>
      </c>
      <c r="N23" t="s">
        <v>88</v>
      </c>
      <c r="O23" t="s">
        <v>104</v>
      </c>
      <c r="P23" t="s">
        <v>217</v>
      </c>
      <c r="Q23" t="s">
        <v>218</v>
      </c>
      <c r="R23" s="2">
        <v>2</v>
      </c>
      <c r="S23" t="s">
        <v>186</v>
      </c>
      <c r="T23" t="s">
        <v>448</v>
      </c>
      <c r="U23" s="2">
        <v>10985</v>
      </c>
      <c r="V23" s="2">
        <v>22</v>
      </c>
      <c r="W23" t="s">
        <v>448</v>
      </c>
      <c r="Z23" t="s">
        <v>71</v>
      </c>
      <c r="AA23" t="s">
        <v>72</v>
      </c>
      <c r="AB23" t="s">
        <v>115</v>
      </c>
      <c r="AC23" t="s">
        <v>74</v>
      </c>
      <c r="AD23" t="s">
        <v>247</v>
      </c>
      <c r="AE23" t="s">
        <v>248</v>
      </c>
      <c r="AF23" t="s">
        <v>77</v>
      </c>
      <c r="AG23" t="s">
        <v>78</v>
      </c>
      <c r="AH23" t="s">
        <v>79</v>
      </c>
      <c r="AI23" t="s">
        <v>80</v>
      </c>
      <c r="AJ23" s="2">
        <v>2025</v>
      </c>
      <c r="AK23" s="3">
        <v>3.25</v>
      </c>
      <c r="AL23" s="3">
        <v>15</v>
      </c>
      <c r="AM23" s="2">
        <v>96</v>
      </c>
      <c r="AN23" s="2">
        <v>0</v>
      </c>
      <c r="AO23" s="6">
        <v>36990</v>
      </c>
      <c r="AP23" s="3">
        <v>502.76</v>
      </c>
      <c r="AQ23" s="3">
        <v>40.549999999999997</v>
      </c>
      <c r="AR23" s="6">
        <v>15000</v>
      </c>
      <c r="AS23" s="3">
        <v>741.31</v>
      </c>
      <c r="AT23" s="6">
        <v>22809.67</v>
      </c>
      <c r="AU23" s="6">
        <v>21990</v>
      </c>
      <c r="AV23" s="7">
        <v>46132</v>
      </c>
      <c r="AW23" s="3">
        <v>399.64</v>
      </c>
      <c r="AX23" t="s">
        <v>82</v>
      </c>
      <c r="AY23" t="s">
        <v>80</v>
      </c>
      <c r="BB23" t="s">
        <v>119</v>
      </c>
      <c r="BC23" t="s">
        <v>249</v>
      </c>
      <c r="BE23" s="3">
        <v>0</v>
      </c>
    </row>
    <row r="24" spans="1:59" x14ac:dyDescent="0.3">
      <c r="A24" s="2">
        <v>14210</v>
      </c>
      <c r="B24" s="2">
        <v>254</v>
      </c>
      <c r="C24" t="s">
        <v>59</v>
      </c>
      <c r="D24" t="s">
        <v>60</v>
      </c>
      <c r="E24" s="2">
        <v>854571</v>
      </c>
      <c r="F24" t="s">
        <v>100</v>
      </c>
      <c r="G24" s="5">
        <v>117747480</v>
      </c>
      <c r="H24" t="s">
        <v>101</v>
      </c>
      <c r="I24" t="s">
        <v>195</v>
      </c>
      <c r="J24" t="s">
        <v>250</v>
      </c>
      <c r="K24" t="s">
        <v>251</v>
      </c>
      <c r="L24" t="s">
        <v>252</v>
      </c>
      <c r="M24" t="s">
        <v>87</v>
      </c>
      <c r="N24" t="s">
        <v>66</v>
      </c>
      <c r="O24" t="s">
        <v>104</v>
      </c>
      <c r="P24" t="s">
        <v>253</v>
      </c>
      <c r="Q24" t="s">
        <v>254</v>
      </c>
      <c r="R24" s="2">
        <v>7</v>
      </c>
      <c r="S24" t="s">
        <v>163</v>
      </c>
      <c r="T24" t="s">
        <v>449</v>
      </c>
      <c r="U24" s="2">
        <v>11720</v>
      </c>
      <c r="V24" s="2">
        <v>23</v>
      </c>
      <c r="W24" t="s">
        <v>449</v>
      </c>
      <c r="Z24" t="s">
        <v>71</v>
      </c>
      <c r="AA24" t="s">
        <v>72</v>
      </c>
      <c r="AB24" t="s">
        <v>91</v>
      </c>
      <c r="AC24" t="s">
        <v>187</v>
      </c>
      <c r="AD24" t="s">
        <v>188</v>
      </c>
      <c r="AE24" t="s">
        <v>237</v>
      </c>
      <c r="AF24" t="s">
        <v>77</v>
      </c>
      <c r="AG24" t="s">
        <v>78</v>
      </c>
      <c r="AH24" t="s">
        <v>79</v>
      </c>
      <c r="AI24" t="s">
        <v>80</v>
      </c>
      <c r="AJ24" s="2">
        <v>2025</v>
      </c>
      <c r="AK24" s="3">
        <v>3.25</v>
      </c>
      <c r="AL24" s="3">
        <v>20</v>
      </c>
      <c r="AM24" s="2">
        <v>96</v>
      </c>
      <c r="AN24" s="2">
        <v>0</v>
      </c>
      <c r="AO24" s="6">
        <v>24900</v>
      </c>
      <c r="AP24" s="3">
        <v>502.76</v>
      </c>
      <c r="AQ24" s="3">
        <v>20</v>
      </c>
      <c r="AR24" s="6">
        <v>4980</v>
      </c>
      <c r="AS24" s="3">
        <v>671.9</v>
      </c>
      <c r="AT24" s="6">
        <v>20673.810000000001</v>
      </c>
      <c r="AU24" s="6">
        <v>19920</v>
      </c>
      <c r="AV24" s="7">
        <v>46132</v>
      </c>
      <c r="AW24" s="3">
        <v>373.1</v>
      </c>
      <c r="AX24" t="s">
        <v>82</v>
      </c>
      <c r="AY24" t="s">
        <v>80</v>
      </c>
      <c r="BB24" t="s">
        <v>83</v>
      </c>
      <c r="BD24" t="s">
        <v>84</v>
      </c>
      <c r="BE24" s="3">
        <v>2500</v>
      </c>
      <c r="BF24" s="2">
        <v>1</v>
      </c>
      <c r="BG24" t="s">
        <v>96</v>
      </c>
    </row>
    <row r="25" spans="1:59" x14ac:dyDescent="0.3">
      <c r="A25" s="2">
        <v>14211</v>
      </c>
      <c r="B25" s="2">
        <v>255</v>
      </c>
      <c r="C25" t="s">
        <v>59</v>
      </c>
      <c r="D25" t="s">
        <v>60</v>
      </c>
      <c r="F25" t="s">
        <v>61</v>
      </c>
      <c r="G25" s="5">
        <v>108734137</v>
      </c>
      <c r="H25" t="s">
        <v>62</v>
      </c>
      <c r="I25" t="s">
        <v>363</v>
      </c>
      <c r="J25" t="s">
        <v>255</v>
      </c>
      <c r="K25" t="s">
        <v>239</v>
      </c>
      <c r="L25" t="s">
        <v>256</v>
      </c>
      <c r="M25" t="s">
        <v>65</v>
      </c>
      <c r="N25" t="s">
        <v>257</v>
      </c>
      <c r="O25" t="s">
        <v>67</v>
      </c>
      <c r="P25" t="s">
        <v>258</v>
      </c>
      <c r="Q25" t="s">
        <v>259</v>
      </c>
      <c r="S25" t="s">
        <v>70</v>
      </c>
      <c r="T25" t="s">
        <v>450</v>
      </c>
      <c r="U25" s="2">
        <v>11647</v>
      </c>
      <c r="V25" s="2">
        <v>24</v>
      </c>
      <c r="W25" t="s">
        <v>450</v>
      </c>
      <c r="Z25" t="s">
        <v>71</v>
      </c>
      <c r="AA25" t="s">
        <v>72</v>
      </c>
      <c r="AB25" t="s">
        <v>115</v>
      </c>
      <c r="AC25" t="s">
        <v>187</v>
      </c>
      <c r="AD25" t="s">
        <v>188</v>
      </c>
      <c r="AE25" t="s">
        <v>189</v>
      </c>
      <c r="AF25" t="s">
        <v>77</v>
      </c>
      <c r="AG25" t="s">
        <v>78</v>
      </c>
      <c r="AH25" t="s">
        <v>79</v>
      </c>
      <c r="AI25" t="s">
        <v>80</v>
      </c>
      <c r="AJ25" s="2">
        <v>2026</v>
      </c>
      <c r="AK25" s="3">
        <v>3.25</v>
      </c>
      <c r="AL25" s="3">
        <v>15</v>
      </c>
      <c r="AM25" s="2">
        <v>96</v>
      </c>
      <c r="AN25" s="2">
        <v>0</v>
      </c>
      <c r="AO25" s="6">
        <v>33900</v>
      </c>
      <c r="AP25" s="3">
        <v>502.76</v>
      </c>
      <c r="AQ25" s="3">
        <v>48.67</v>
      </c>
      <c r="AR25" s="6">
        <v>16500</v>
      </c>
      <c r="AS25" s="3">
        <v>586.92999999999995</v>
      </c>
      <c r="AT25" s="6">
        <v>18059.45</v>
      </c>
      <c r="AU25" s="6">
        <v>17400</v>
      </c>
      <c r="AV25" s="7">
        <v>46132</v>
      </c>
      <c r="AW25" s="3">
        <v>326.89</v>
      </c>
      <c r="AX25" t="s">
        <v>80</v>
      </c>
      <c r="AY25" t="s">
        <v>80</v>
      </c>
      <c r="BB25" t="s">
        <v>110</v>
      </c>
      <c r="BD25" t="s">
        <v>141</v>
      </c>
      <c r="BE25" s="3">
        <v>0</v>
      </c>
    </row>
    <row r="26" spans="1:59" x14ac:dyDescent="0.3">
      <c r="A26" s="2">
        <v>14243</v>
      </c>
      <c r="B26" s="2">
        <v>256</v>
      </c>
      <c r="C26" t="s">
        <v>59</v>
      </c>
      <c r="D26" t="s">
        <v>60</v>
      </c>
      <c r="F26" t="s">
        <v>61</v>
      </c>
      <c r="G26" s="5">
        <v>107896332</v>
      </c>
      <c r="H26" t="s">
        <v>62</v>
      </c>
      <c r="I26" t="s">
        <v>412</v>
      </c>
      <c r="J26" t="s">
        <v>422</v>
      </c>
      <c r="K26" t="s">
        <v>261</v>
      </c>
      <c r="L26" t="s">
        <v>262</v>
      </c>
      <c r="M26" t="s">
        <v>65</v>
      </c>
      <c r="N26" t="s">
        <v>88</v>
      </c>
      <c r="O26" t="s">
        <v>67</v>
      </c>
      <c r="P26" t="s">
        <v>263</v>
      </c>
      <c r="Q26" t="s">
        <v>223</v>
      </c>
      <c r="S26" t="s">
        <v>186</v>
      </c>
      <c r="T26" t="s">
        <v>451</v>
      </c>
      <c r="U26" s="2">
        <v>10985</v>
      </c>
      <c r="V26" s="2">
        <v>25</v>
      </c>
      <c r="W26" t="s">
        <v>451</v>
      </c>
      <c r="Z26" t="s">
        <v>71</v>
      </c>
      <c r="AA26" t="s">
        <v>72</v>
      </c>
      <c r="AB26" t="s">
        <v>91</v>
      </c>
      <c r="AC26" t="s">
        <v>147</v>
      </c>
      <c r="AD26" t="s">
        <v>264</v>
      </c>
      <c r="AE26" t="s">
        <v>265</v>
      </c>
      <c r="AF26" t="s">
        <v>77</v>
      </c>
      <c r="AG26" t="s">
        <v>78</v>
      </c>
      <c r="AH26" t="s">
        <v>79</v>
      </c>
      <c r="AI26" t="s">
        <v>80</v>
      </c>
      <c r="AJ26" s="2">
        <v>2025</v>
      </c>
      <c r="AK26" s="3">
        <v>3.25</v>
      </c>
      <c r="AL26" s="3">
        <v>20</v>
      </c>
      <c r="AM26" s="2">
        <v>96</v>
      </c>
      <c r="AN26" s="2">
        <v>0</v>
      </c>
      <c r="AO26" s="6">
        <v>27487</v>
      </c>
      <c r="AP26" s="3">
        <v>502.76</v>
      </c>
      <c r="AQ26" s="3">
        <v>20</v>
      </c>
      <c r="AR26" s="6">
        <v>5497.4</v>
      </c>
      <c r="AS26" s="3">
        <v>741.78</v>
      </c>
      <c r="AT26" s="6">
        <v>22823.9</v>
      </c>
      <c r="AU26" s="6">
        <v>21989.599999999999</v>
      </c>
      <c r="AV26" s="7">
        <v>46132</v>
      </c>
      <c r="AW26" s="3">
        <v>414</v>
      </c>
      <c r="AX26" t="s">
        <v>80</v>
      </c>
      <c r="AY26" t="s">
        <v>80</v>
      </c>
      <c r="BB26" t="s">
        <v>119</v>
      </c>
      <c r="BC26" t="s">
        <v>266</v>
      </c>
      <c r="BE26" s="3">
        <v>0</v>
      </c>
    </row>
    <row r="27" spans="1:59" x14ac:dyDescent="0.3">
      <c r="A27" s="2">
        <v>14245</v>
      </c>
      <c r="B27" s="2">
        <v>258</v>
      </c>
      <c r="C27" t="s">
        <v>59</v>
      </c>
      <c r="D27" t="s">
        <v>60</v>
      </c>
      <c r="F27" t="s">
        <v>61</v>
      </c>
      <c r="G27" s="5">
        <v>701726205</v>
      </c>
      <c r="H27" t="s">
        <v>62</v>
      </c>
      <c r="I27" t="s">
        <v>416</v>
      </c>
      <c r="J27" t="s">
        <v>255</v>
      </c>
      <c r="K27" t="s">
        <v>63</v>
      </c>
      <c r="L27" t="s">
        <v>267</v>
      </c>
      <c r="M27" t="s">
        <v>65</v>
      </c>
      <c r="N27" t="s">
        <v>88</v>
      </c>
      <c r="O27" t="s">
        <v>67</v>
      </c>
      <c r="P27" t="s">
        <v>268</v>
      </c>
      <c r="Q27" t="s">
        <v>126</v>
      </c>
      <c r="S27" t="s">
        <v>163</v>
      </c>
      <c r="T27" t="s">
        <v>452</v>
      </c>
      <c r="U27" s="2">
        <v>11720</v>
      </c>
      <c r="V27" s="2">
        <v>26</v>
      </c>
      <c r="W27" t="s">
        <v>452</v>
      </c>
      <c r="Z27" t="s">
        <v>71</v>
      </c>
      <c r="AA27" t="s">
        <v>72</v>
      </c>
      <c r="AB27" t="s">
        <v>91</v>
      </c>
      <c r="AC27" t="s">
        <v>200</v>
      </c>
      <c r="AD27" t="s">
        <v>269</v>
      </c>
      <c r="AE27" t="s">
        <v>202</v>
      </c>
      <c r="AF27" t="s">
        <v>77</v>
      </c>
      <c r="AG27" t="s">
        <v>78</v>
      </c>
      <c r="AH27" t="s">
        <v>79</v>
      </c>
      <c r="AI27" t="s">
        <v>80</v>
      </c>
      <c r="AJ27" s="2">
        <v>2025</v>
      </c>
      <c r="AK27" s="3">
        <v>3.25</v>
      </c>
      <c r="AL27" s="3">
        <v>20</v>
      </c>
      <c r="AM27" s="2">
        <v>96</v>
      </c>
      <c r="AN27" s="2">
        <v>0</v>
      </c>
      <c r="AO27" s="6">
        <v>25515</v>
      </c>
      <c r="AP27" s="3">
        <v>502.76</v>
      </c>
      <c r="AQ27" s="3">
        <v>20</v>
      </c>
      <c r="AR27" s="6">
        <v>5103</v>
      </c>
      <c r="AS27" s="3">
        <v>685.91</v>
      </c>
      <c r="AT27" s="6">
        <v>21104.99</v>
      </c>
      <c r="AU27" s="6">
        <v>20412</v>
      </c>
      <c r="AV27" s="7">
        <v>46132</v>
      </c>
      <c r="AW27" s="3">
        <v>304.35000000000002</v>
      </c>
      <c r="AX27" t="s">
        <v>80</v>
      </c>
      <c r="AY27" t="s">
        <v>80</v>
      </c>
      <c r="BB27" t="s">
        <v>119</v>
      </c>
      <c r="BC27" t="s">
        <v>132</v>
      </c>
      <c r="BE27" s="3">
        <v>0</v>
      </c>
    </row>
    <row r="28" spans="1:59" x14ac:dyDescent="0.3">
      <c r="A28" s="2">
        <v>14252</v>
      </c>
      <c r="B28" s="2">
        <v>257</v>
      </c>
      <c r="C28" t="s">
        <v>59</v>
      </c>
      <c r="D28" t="s">
        <v>60</v>
      </c>
      <c r="E28" s="2">
        <v>96369</v>
      </c>
      <c r="F28" t="s">
        <v>100</v>
      </c>
      <c r="G28" s="5">
        <v>107115162</v>
      </c>
      <c r="H28" t="s">
        <v>101</v>
      </c>
      <c r="I28" t="s">
        <v>363</v>
      </c>
      <c r="J28" t="s">
        <v>270</v>
      </c>
      <c r="K28" t="s">
        <v>271</v>
      </c>
      <c r="L28" t="s">
        <v>272</v>
      </c>
      <c r="M28" t="s">
        <v>65</v>
      </c>
      <c r="N28" t="s">
        <v>257</v>
      </c>
      <c r="O28" t="s">
        <v>104</v>
      </c>
      <c r="P28" t="s">
        <v>273</v>
      </c>
      <c r="Q28" t="s">
        <v>274</v>
      </c>
      <c r="R28" s="2">
        <v>2</v>
      </c>
      <c r="S28" t="s">
        <v>70</v>
      </c>
      <c r="T28" t="s">
        <v>453</v>
      </c>
      <c r="U28" s="2">
        <v>11647</v>
      </c>
      <c r="V28" s="2">
        <v>27</v>
      </c>
      <c r="W28" t="s">
        <v>453</v>
      </c>
      <c r="Z28" t="s">
        <v>71</v>
      </c>
      <c r="AA28" t="s">
        <v>72</v>
      </c>
      <c r="AB28" t="s">
        <v>115</v>
      </c>
      <c r="AC28" t="s">
        <v>187</v>
      </c>
      <c r="AD28" t="s">
        <v>188</v>
      </c>
      <c r="AE28" t="s">
        <v>275</v>
      </c>
      <c r="AF28" t="s">
        <v>77</v>
      </c>
      <c r="AG28" t="s">
        <v>78</v>
      </c>
      <c r="AH28" t="s">
        <v>79</v>
      </c>
      <c r="AI28" t="s">
        <v>80</v>
      </c>
      <c r="AJ28" s="2">
        <v>2025</v>
      </c>
      <c r="AK28" s="3">
        <v>3.25</v>
      </c>
      <c r="AL28" s="3">
        <v>15</v>
      </c>
      <c r="AM28" s="2">
        <v>96</v>
      </c>
      <c r="AN28" s="2">
        <v>0</v>
      </c>
      <c r="AO28" s="6">
        <v>50500</v>
      </c>
      <c r="AP28" s="3">
        <v>502.76</v>
      </c>
      <c r="AQ28" s="3">
        <v>59.41</v>
      </c>
      <c r="AR28" s="6">
        <v>30000</v>
      </c>
      <c r="AS28" s="3">
        <v>691.98</v>
      </c>
      <c r="AT28" s="6">
        <v>21291.62</v>
      </c>
      <c r="AU28" s="6">
        <v>20500</v>
      </c>
      <c r="AV28" s="7">
        <v>46132</v>
      </c>
      <c r="AW28" s="3">
        <v>399.54</v>
      </c>
      <c r="AX28" t="s">
        <v>82</v>
      </c>
      <c r="AY28" t="s">
        <v>80</v>
      </c>
      <c r="BB28" t="s">
        <v>83</v>
      </c>
      <c r="BD28" t="s">
        <v>84</v>
      </c>
      <c r="BE28" s="3">
        <v>12000</v>
      </c>
    </row>
    <row r="29" spans="1:59" x14ac:dyDescent="0.3">
      <c r="A29" s="2">
        <v>14267</v>
      </c>
      <c r="B29" s="2">
        <v>259</v>
      </c>
      <c r="C29" t="s">
        <v>59</v>
      </c>
      <c r="D29" t="s">
        <v>60</v>
      </c>
      <c r="F29" t="s">
        <v>61</v>
      </c>
      <c r="G29" s="5">
        <v>114535729</v>
      </c>
      <c r="H29" t="s">
        <v>62</v>
      </c>
      <c r="I29" t="s">
        <v>287</v>
      </c>
      <c r="J29" t="s">
        <v>423</v>
      </c>
      <c r="K29" t="s">
        <v>276</v>
      </c>
      <c r="L29" t="s">
        <v>277</v>
      </c>
      <c r="M29" t="s">
        <v>65</v>
      </c>
      <c r="N29" t="s">
        <v>88</v>
      </c>
      <c r="O29" t="s">
        <v>67</v>
      </c>
      <c r="P29" t="s">
        <v>278</v>
      </c>
      <c r="Q29" t="s">
        <v>90</v>
      </c>
      <c r="S29" t="s">
        <v>145</v>
      </c>
      <c r="T29" t="s">
        <v>454</v>
      </c>
      <c r="U29" s="2">
        <v>11422</v>
      </c>
      <c r="V29" s="2">
        <v>28</v>
      </c>
      <c r="W29" t="s">
        <v>454</v>
      </c>
      <c r="Z29" t="s">
        <v>71</v>
      </c>
      <c r="AA29" t="s">
        <v>72</v>
      </c>
      <c r="AB29" t="s">
        <v>128</v>
      </c>
      <c r="AC29" t="s">
        <v>279</v>
      </c>
      <c r="AD29" t="s">
        <v>280</v>
      </c>
      <c r="AE29" t="s">
        <v>281</v>
      </c>
      <c r="AF29" t="s">
        <v>77</v>
      </c>
      <c r="AG29" t="s">
        <v>78</v>
      </c>
      <c r="AH29" t="s">
        <v>79</v>
      </c>
      <c r="AI29" t="s">
        <v>80</v>
      </c>
      <c r="AJ29" s="2">
        <v>2025</v>
      </c>
      <c r="AK29" s="3">
        <v>3.25</v>
      </c>
      <c r="AL29" s="3">
        <v>20</v>
      </c>
      <c r="AM29" s="2">
        <v>96</v>
      </c>
      <c r="AN29" s="2">
        <v>0</v>
      </c>
      <c r="AO29" s="6">
        <v>24987.5</v>
      </c>
      <c r="AP29" s="3">
        <v>502.76</v>
      </c>
      <c r="AQ29" s="3">
        <v>30</v>
      </c>
      <c r="AR29" s="6">
        <v>7496.25</v>
      </c>
      <c r="AS29" s="3">
        <v>590.32000000000005</v>
      </c>
      <c r="AT29" s="6">
        <v>18163.61</v>
      </c>
      <c r="AU29" s="6">
        <v>17491.25</v>
      </c>
      <c r="AV29" s="7">
        <v>46132</v>
      </c>
      <c r="AW29" s="3">
        <v>337.41</v>
      </c>
      <c r="AX29" t="s">
        <v>82</v>
      </c>
      <c r="AY29" t="s">
        <v>80</v>
      </c>
      <c r="BB29" t="s">
        <v>119</v>
      </c>
      <c r="BC29" t="s">
        <v>231</v>
      </c>
      <c r="BE29" s="3">
        <v>0</v>
      </c>
    </row>
    <row r="30" spans="1:59" x14ac:dyDescent="0.3">
      <c r="A30" s="2">
        <v>14294</v>
      </c>
      <c r="B30" s="2">
        <v>260</v>
      </c>
      <c r="C30" t="s">
        <v>59</v>
      </c>
      <c r="D30" t="s">
        <v>60</v>
      </c>
      <c r="F30" t="s">
        <v>61</v>
      </c>
      <c r="G30" s="5">
        <v>105687465</v>
      </c>
      <c r="H30" t="s">
        <v>62</v>
      </c>
      <c r="I30" t="s">
        <v>195</v>
      </c>
      <c r="J30" t="s">
        <v>282</v>
      </c>
      <c r="K30" t="s">
        <v>283</v>
      </c>
      <c r="L30" t="s">
        <v>284</v>
      </c>
      <c r="M30" t="s">
        <v>87</v>
      </c>
      <c r="N30" t="s">
        <v>66</v>
      </c>
      <c r="O30" t="s">
        <v>67</v>
      </c>
      <c r="P30" t="s">
        <v>285</v>
      </c>
      <c r="Q30" t="s">
        <v>218</v>
      </c>
      <c r="S30" t="s">
        <v>70</v>
      </c>
      <c r="T30" t="s">
        <v>455</v>
      </c>
      <c r="U30" s="2">
        <v>10819</v>
      </c>
      <c r="V30" s="2">
        <v>29</v>
      </c>
      <c r="W30" t="s">
        <v>455</v>
      </c>
      <c r="Z30" t="s">
        <v>71</v>
      </c>
      <c r="AA30" t="s">
        <v>72</v>
      </c>
      <c r="AB30" t="s">
        <v>115</v>
      </c>
      <c r="AC30" t="s">
        <v>187</v>
      </c>
      <c r="AD30" t="s">
        <v>188</v>
      </c>
      <c r="AE30" t="s">
        <v>286</v>
      </c>
      <c r="AF30" t="s">
        <v>77</v>
      </c>
      <c r="AG30" t="s">
        <v>78</v>
      </c>
      <c r="AH30" t="s">
        <v>79</v>
      </c>
      <c r="AI30" t="s">
        <v>80</v>
      </c>
      <c r="AJ30" s="2">
        <v>2025</v>
      </c>
      <c r="AK30" s="3">
        <v>3.25</v>
      </c>
      <c r="AL30" s="3">
        <v>15</v>
      </c>
      <c r="AM30" s="2">
        <v>96</v>
      </c>
      <c r="AN30" s="2">
        <v>0</v>
      </c>
      <c r="AO30" s="6">
        <v>39900</v>
      </c>
      <c r="AP30" s="3">
        <v>502.76</v>
      </c>
      <c r="AQ30" s="3">
        <v>20</v>
      </c>
      <c r="AR30" s="6">
        <v>7980</v>
      </c>
      <c r="AS30" s="3">
        <v>1074.5</v>
      </c>
      <c r="AT30" s="6">
        <v>33061.64</v>
      </c>
      <c r="AU30" s="6">
        <v>31920</v>
      </c>
      <c r="AV30" s="7">
        <v>46132</v>
      </c>
      <c r="AW30" s="3">
        <v>532.82000000000005</v>
      </c>
      <c r="AX30" t="s">
        <v>82</v>
      </c>
      <c r="AY30" t="s">
        <v>80</v>
      </c>
      <c r="BB30" t="s">
        <v>83</v>
      </c>
      <c r="BD30" t="s">
        <v>176</v>
      </c>
      <c r="BE30" s="3">
        <v>0</v>
      </c>
    </row>
    <row r="31" spans="1:59" x14ac:dyDescent="0.3">
      <c r="A31" s="2">
        <v>14301</v>
      </c>
      <c r="B31" s="2">
        <v>261</v>
      </c>
      <c r="C31" t="s">
        <v>59</v>
      </c>
      <c r="D31" t="s">
        <v>60</v>
      </c>
      <c r="F31" t="s">
        <v>61</v>
      </c>
      <c r="G31" s="5">
        <v>206285758</v>
      </c>
      <c r="H31" t="s">
        <v>62</v>
      </c>
      <c r="I31" t="s">
        <v>363</v>
      </c>
      <c r="J31" t="s">
        <v>190</v>
      </c>
      <c r="K31" t="s">
        <v>288</v>
      </c>
      <c r="L31" t="s">
        <v>289</v>
      </c>
      <c r="M31" t="s">
        <v>87</v>
      </c>
      <c r="N31" t="s">
        <v>66</v>
      </c>
      <c r="O31" t="s">
        <v>67</v>
      </c>
      <c r="P31" t="s">
        <v>290</v>
      </c>
      <c r="Q31" t="s">
        <v>291</v>
      </c>
      <c r="S31" t="s">
        <v>70</v>
      </c>
      <c r="T31" t="s">
        <v>456</v>
      </c>
      <c r="U31" s="2">
        <v>11713</v>
      </c>
      <c r="V31" s="2">
        <v>30</v>
      </c>
      <c r="W31" t="s">
        <v>456</v>
      </c>
      <c r="Z31" t="s">
        <v>71</v>
      </c>
      <c r="AA31" t="s">
        <v>72</v>
      </c>
      <c r="AB31" t="s">
        <v>91</v>
      </c>
      <c r="AC31" t="s">
        <v>74</v>
      </c>
      <c r="AD31" t="s">
        <v>292</v>
      </c>
      <c r="AE31" t="s">
        <v>293</v>
      </c>
      <c r="AF31" t="s">
        <v>77</v>
      </c>
      <c r="AG31" t="s">
        <v>78</v>
      </c>
      <c r="AH31" t="s">
        <v>79</v>
      </c>
      <c r="AI31" t="s">
        <v>80</v>
      </c>
      <c r="AJ31" s="2">
        <v>2025</v>
      </c>
      <c r="AK31" s="3">
        <v>3.25</v>
      </c>
      <c r="AL31" s="3">
        <v>20</v>
      </c>
      <c r="AM31" s="2">
        <v>96</v>
      </c>
      <c r="AN31" s="2">
        <v>0</v>
      </c>
      <c r="AO31" s="6">
        <v>69100</v>
      </c>
      <c r="AP31" s="3">
        <v>502.76</v>
      </c>
      <c r="AQ31" s="3">
        <v>20</v>
      </c>
      <c r="AR31" s="6">
        <v>13820</v>
      </c>
      <c r="AS31" s="3">
        <v>1861.13</v>
      </c>
      <c r="AT31" s="6">
        <v>57265.42</v>
      </c>
      <c r="AU31" s="6">
        <v>55280</v>
      </c>
      <c r="AV31" s="7">
        <v>46132</v>
      </c>
      <c r="AW31" s="3">
        <v>930.89</v>
      </c>
      <c r="AX31" t="s">
        <v>82</v>
      </c>
      <c r="AY31" t="s">
        <v>80</v>
      </c>
      <c r="BB31" t="s">
        <v>83</v>
      </c>
      <c r="BD31" t="s">
        <v>84</v>
      </c>
      <c r="BE31" s="3">
        <v>15000</v>
      </c>
      <c r="BF31" s="2">
        <v>1</v>
      </c>
      <c r="BG31" t="s">
        <v>212</v>
      </c>
    </row>
    <row r="32" spans="1:59" x14ac:dyDescent="0.3">
      <c r="A32" s="2">
        <v>14302</v>
      </c>
      <c r="B32" s="2">
        <v>262</v>
      </c>
      <c r="C32" t="s">
        <v>59</v>
      </c>
      <c r="D32" t="s">
        <v>60</v>
      </c>
      <c r="F32" t="s">
        <v>61</v>
      </c>
      <c r="G32" s="5">
        <v>402093733</v>
      </c>
      <c r="H32" t="s">
        <v>62</v>
      </c>
      <c r="I32" t="s">
        <v>416</v>
      </c>
      <c r="J32" t="s">
        <v>295</v>
      </c>
      <c r="K32" t="s">
        <v>296</v>
      </c>
      <c r="L32" t="s">
        <v>297</v>
      </c>
      <c r="M32" t="s">
        <v>65</v>
      </c>
      <c r="N32" t="s">
        <v>88</v>
      </c>
      <c r="O32" t="s">
        <v>67</v>
      </c>
      <c r="P32" t="s">
        <v>298</v>
      </c>
      <c r="Q32" t="s">
        <v>90</v>
      </c>
      <c r="S32" t="s">
        <v>70</v>
      </c>
      <c r="T32" t="s">
        <v>457</v>
      </c>
      <c r="U32" s="2">
        <v>11656</v>
      </c>
      <c r="V32" s="2">
        <v>31</v>
      </c>
      <c r="W32" t="s">
        <v>457</v>
      </c>
      <c r="Z32" t="s">
        <v>71</v>
      </c>
      <c r="AA32" t="s">
        <v>72</v>
      </c>
      <c r="AB32" t="s">
        <v>91</v>
      </c>
      <c r="AC32" t="s">
        <v>74</v>
      </c>
      <c r="AD32" t="s">
        <v>292</v>
      </c>
      <c r="AE32" t="s">
        <v>299</v>
      </c>
      <c r="AF32" t="s">
        <v>77</v>
      </c>
      <c r="AG32" t="s">
        <v>78</v>
      </c>
      <c r="AH32" t="s">
        <v>79</v>
      </c>
      <c r="AI32" t="s">
        <v>80</v>
      </c>
      <c r="AJ32" s="2">
        <v>2025</v>
      </c>
      <c r="AK32" s="3">
        <v>3.25</v>
      </c>
      <c r="AL32" s="3">
        <v>20</v>
      </c>
      <c r="AM32" s="2">
        <v>96</v>
      </c>
      <c r="AN32" s="2">
        <v>0</v>
      </c>
      <c r="AO32" s="6">
        <v>36900</v>
      </c>
      <c r="AP32" s="3">
        <v>501.79</v>
      </c>
      <c r="AQ32" s="3">
        <v>20</v>
      </c>
      <c r="AR32" s="6">
        <v>7380</v>
      </c>
      <c r="AS32" s="3">
        <v>994.54</v>
      </c>
      <c r="AT32" s="6">
        <v>30601.23</v>
      </c>
      <c r="AU32" s="6">
        <v>29520</v>
      </c>
      <c r="AV32" s="7">
        <v>46133</v>
      </c>
      <c r="AW32" s="3">
        <v>517.71</v>
      </c>
      <c r="AX32" t="s">
        <v>82</v>
      </c>
      <c r="AY32" t="s">
        <v>80</v>
      </c>
      <c r="BB32" t="s">
        <v>119</v>
      </c>
      <c r="BC32" t="s">
        <v>120</v>
      </c>
      <c r="BE32" s="3">
        <v>0</v>
      </c>
    </row>
    <row r="33" spans="1:59" x14ac:dyDescent="0.3">
      <c r="A33" s="2">
        <v>14303</v>
      </c>
      <c r="B33" s="2">
        <v>263</v>
      </c>
      <c r="C33" t="s">
        <v>59</v>
      </c>
      <c r="D33" t="s">
        <v>60</v>
      </c>
      <c r="E33" s="2">
        <v>748667</v>
      </c>
      <c r="F33" t="s">
        <v>100</v>
      </c>
      <c r="G33" s="5">
        <v>113997396</v>
      </c>
      <c r="H33" t="s">
        <v>101</v>
      </c>
      <c r="I33" t="s">
        <v>362</v>
      </c>
      <c r="K33" t="s">
        <v>134</v>
      </c>
      <c r="L33" t="s">
        <v>301</v>
      </c>
      <c r="M33" t="s">
        <v>65</v>
      </c>
      <c r="N33" t="s">
        <v>66</v>
      </c>
      <c r="O33" t="s">
        <v>104</v>
      </c>
      <c r="P33" t="s">
        <v>302</v>
      </c>
      <c r="Q33" t="s">
        <v>274</v>
      </c>
      <c r="R33" s="2">
        <v>2</v>
      </c>
      <c r="S33" t="s">
        <v>70</v>
      </c>
      <c r="T33" t="s">
        <v>458</v>
      </c>
      <c r="U33" s="2">
        <v>11713</v>
      </c>
      <c r="V33" s="2">
        <v>32</v>
      </c>
      <c r="W33" t="s">
        <v>458</v>
      </c>
      <c r="Z33" t="s">
        <v>71</v>
      </c>
      <c r="AA33" t="s">
        <v>72</v>
      </c>
      <c r="AB33" t="s">
        <v>91</v>
      </c>
      <c r="AC33" t="s">
        <v>74</v>
      </c>
      <c r="AD33" t="s">
        <v>75</v>
      </c>
      <c r="AE33" t="s">
        <v>303</v>
      </c>
      <c r="AF33" t="s">
        <v>77</v>
      </c>
      <c r="AG33" t="s">
        <v>78</v>
      </c>
      <c r="AH33" t="s">
        <v>79</v>
      </c>
      <c r="AI33" t="s">
        <v>80</v>
      </c>
      <c r="AJ33" s="2">
        <v>2026</v>
      </c>
      <c r="AK33" s="3">
        <v>3.25</v>
      </c>
      <c r="AL33" s="3">
        <v>20</v>
      </c>
      <c r="AM33" s="2">
        <v>96</v>
      </c>
      <c r="AN33" s="2">
        <v>0</v>
      </c>
      <c r="AO33" s="6">
        <v>29900</v>
      </c>
      <c r="AP33" s="3">
        <v>501.79</v>
      </c>
      <c r="AQ33" s="3">
        <v>46.82</v>
      </c>
      <c r="AR33" s="6">
        <v>14000</v>
      </c>
      <c r="AS33" s="3">
        <v>536.74</v>
      </c>
      <c r="AT33" s="6">
        <v>16515.14</v>
      </c>
      <c r="AU33" s="6">
        <v>15900</v>
      </c>
      <c r="AV33" s="7">
        <v>46133</v>
      </c>
      <c r="AW33" s="3">
        <v>311.02</v>
      </c>
      <c r="AX33" t="s">
        <v>82</v>
      </c>
      <c r="AY33" t="s">
        <v>80</v>
      </c>
      <c r="BB33" t="s">
        <v>119</v>
      </c>
      <c r="BC33" t="s">
        <v>120</v>
      </c>
      <c r="BD33" t="s">
        <v>141</v>
      </c>
      <c r="BE33" s="3">
        <v>0</v>
      </c>
    </row>
    <row r="34" spans="1:59" x14ac:dyDescent="0.3">
      <c r="A34" s="2">
        <v>14305</v>
      </c>
      <c r="B34" s="2">
        <v>264</v>
      </c>
      <c r="C34" t="s">
        <v>59</v>
      </c>
      <c r="D34" t="s">
        <v>60</v>
      </c>
      <c r="F34" t="s">
        <v>61</v>
      </c>
      <c r="G34" s="5">
        <v>401936692</v>
      </c>
      <c r="H34" t="s">
        <v>62</v>
      </c>
      <c r="I34" t="s">
        <v>415</v>
      </c>
      <c r="J34" t="s">
        <v>304</v>
      </c>
      <c r="K34" t="s">
        <v>305</v>
      </c>
      <c r="L34" t="s">
        <v>306</v>
      </c>
      <c r="M34" t="s">
        <v>65</v>
      </c>
      <c r="N34" t="s">
        <v>66</v>
      </c>
      <c r="O34" t="s">
        <v>67</v>
      </c>
      <c r="P34" t="s">
        <v>307</v>
      </c>
      <c r="Q34" t="s">
        <v>218</v>
      </c>
      <c r="S34" t="s">
        <v>193</v>
      </c>
      <c r="T34" t="s">
        <v>459</v>
      </c>
      <c r="U34" s="2">
        <v>6350</v>
      </c>
      <c r="V34" s="2">
        <v>33</v>
      </c>
      <c r="W34" t="s">
        <v>459</v>
      </c>
      <c r="Z34" t="s">
        <v>71</v>
      </c>
      <c r="AA34" t="s">
        <v>72</v>
      </c>
      <c r="AB34" t="s">
        <v>91</v>
      </c>
      <c r="AC34" t="s">
        <v>74</v>
      </c>
      <c r="AD34" t="s">
        <v>292</v>
      </c>
      <c r="AE34" t="s">
        <v>299</v>
      </c>
      <c r="AF34" t="s">
        <v>77</v>
      </c>
      <c r="AG34" t="s">
        <v>78</v>
      </c>
      <c r="AH34" t="s">
        <v>79</v>
      </c>
      <c r="AI34" t="s">
        <v>80</v>
      </c>
      <c r="AJ34" s="2">
        <v>2025</v>
      </c>
      <c r="AK34" s="3">
        <v>3.25</v>
      </c>
      <c r="AL34" s="3">
        <v>20</v>
      </c>
      <c r="AM34" s="2">
        <v>96</v>
      </c>
      <c r="AN34" s="2">
        <v>0</v>
      </c>
      <c r="AO34" s="6">
        <v>28900</v>
      </c>
      <c r="AP34" s="3">
        <v>502.76</v>
      </c>
      <c r="AQ34" s="3">
        <v>58.82</v>
      </c>
      <c r="AR34" s="6">
        <v>17000</v>
      </c>
      <c r="AS34" s="3">
        <v>401.89</v>
      </c>
      <c r="AT34" s="6">
        <v>12365.77</v>
      </c>
      <c r="AU34" s="6">
        <v>11899.99</v>
      </c>
      <c r="AV34" s="7">
        <v>46132</v>
      </c>
      <c r="AW34" s="3">
        <v>238.06</v>
      </c>
      <c r="AX34" t="s">
        <v>80</v>
      </c>
      <c r="AY34" t="s">
        <v>80</v>
      </c>
      <c r="BB34" t="s">
        <v>83</v>
      </c>
      <c r="BD34" t="s">
        <v>84</v>
      </c>
      <c r="BE34" s="3">
        <v>10000</v>
      </c>
    </row>
    <row r="35" spans="1:59" x14ac:dyDescent="0.3">
      <c r="A35" s="2">
        <v>14314</v>
      </c>
      <c r="B35" s="2">
        <v>265</v>
      </c>
      <c r="C35" t="s">
        <v>59</v>
      </c>
      <c r="D35" t="s">
        <v>60</v>
      </c>
      <c r="E35" s="2">
        <v>865820</v>
      </c>
      <c r="F35" t="s">
        <v>100</v>
      </c>
      <c r="G35" s="5">
        <v>207205796</v>
      </c>
      <c r="H35" t="s">
        <v>101</v>
      </c>
      <c r="I35" t="s">
        <v>416</v>
      </c>
      <c r="J35" t="s">
        <v>142</v>
      </c>
      <c r="K35" t="s">
        <v>308</v>
      </c>
      <c r="L35" t="s">
        <v>309</v>
      </c>
      <c r="M35" t="s">
        <v>65</v>
      </c>
      <c r="N35" t="s">
        <v>88</v>
      </c>
      <c r="O35" t="s">
        <v>104</v>
      </c>
      <c r="P35" t="s">
        <v>310</v>
      </c>
      <c r="Q35" t="s">
        <v>311</v>
      </c>
      <c r="R35" s="2">
        <v>7</v>
      </c>
      <c r="S35" t="s">
        <v>193</v>
      </c>
      <c r="T35" t="s">
        <v>460</v>
      </c>
      <c r="U35" s="2">
        <v>6350</v>
      </c>
      <c r="V35" s="2">
        <v>34</v>
      </c>
      <c r="W35" t="s">
        <v>460</v>
      </c>
      <c r="Z35" t="s">
        <v>71</v>
      </c>
      <c r="AA35" t="s">
        <v>72</v>
      </c>
      <c r="AB35" t="s">
        <v>91</v>
      </c>
      <c r="AC35" t="s">
        <v>74</v>
      </c>
      <c r="AD35" t="s">
        <v>292</v>
      </c>
      <c r="AE35" t="s">
        <v>293</v>
      </c>
      <c r="AF35" t="s">
        <v>77</v>
      </c>
      <c r="AG35" t="s">
        <v>78</v>
      </c>
      <c r="AH35" t="s">
        <v>79</v>
      </c>
      <c r="AI35" t="s">
        <v>80</v>
      </c>
      <c r="AJ35" s="2">
        <v>2026</v>
      </c>
      <c r="AK35" s="3">
        <v>3.25</v>
      </c>
      <c r="AL35" s="3">
        <v>20</v>
      </c>
      <c r="AM35" s="2">
        <v>96</v>
      </c>
      <c r="AN35" s="2">
        <v>0</v>
      </c>
      <c r="AO35" s="6">
        <v>52900</v>
      </c>
      <c r="AP35" s="3">
        <v>501.79</v>
      </c>
      <c r="AQ35" s="3">
        <v>20</v>
      </c>
      <c r="AR35" s="6">
        <v>15870</v>
      </c>
      <c r="AS35" s="3">
        <v>1246.72</v>
      </c>
      <c r="AT35" s="6">
        <v>38360.53</v>
      </c>
      <c r="AU35" s="6">
        <v>37030</v>
      </c>
      <c r="AV35" s="7">
        <v>46133</v>
      </c>
      <c r="AW35" s="3">
        <v>624.13</v>
      </c>
      <c r="AX35" t="s">
        <v>82</v>
      </c>
      <c r="AY35" t="s">
        <v>80</v>
      </c>
      <c r="BB35" t="s">
        <v>83</v>
      </c>
      <c r="BD35" t="s">
        <v>84</v>
      </c>
      <c r="BE35" s="3">
        <v>5000</v>
      </c>
    </row>
    <row r="36" spans="1:59" x14ac:dyDescent="0.3">
      <c r="A36" s="2">
        <v>14316</v>
      </c>
      <c r="B36" s="2">
        <v>267</v>
      </c>
      <c r="C36" t="s">
        <v>59</v>
      </c>
      <c r="D36" t="s">
        <v>60</v>
      </c>
      <c r="F36" t="s">
        <v>61</v>
      </c>
      <c r="G36" s="5">
        <v>702344116</v>
      </c>
      <c r="H36" t="s">
        <v>62</v>
      </c>
      <c r="I36" t="s">
        <v>416</v>
      </c>
      <c r="K36" t="s">
        <v>312</v>
      </c>
      <c r="L36" t="s">
        <v>313</v>
      </c>
      <c r="M36" t="s">
        <v>87</v>
      </c>
      <c r="N36" t="s">
        <v>66</v>
      </c>
      <c r="O36" t="s">
        <v>67</v>
      </c>
      <c r="P36" t="s">
        <v>314</v>
      </c>
      <c r="Q36" t="s">
        <v>315</v>
      </c>
      <c r="S36" t="s">
        <v>193</v>
      </c>
      <c r="T36" t="s">
        <v>461</v>
      </c>
      <c r="U36" s="2">
        <v>6350</v>
      </c>
      <c r="V36" s="2">
        <v>35</v>
      </c>
      <c r="W36" t="s">
        <v>461</v>
      </c>
      <c r="Z36" t="s">
        <v>71</v>
      </c>
      <c r="AA36" t="s">
        <v>72</v>
      </c>
      <c r="AB36" t="s">
        <v>128</v>
      </c>
      <c r="AC36" t="s">
        <v>74</v>
      </c>
      <c r="AD36" t="s">
        <v>75</v>
      </c>
      <c r="AE36" t="s">
        <v>76</v>
      </c>
      <c r="AF36" t="s">
        <v>77</v>
      </c>
      <c r="AG36" t="s">
        <v>78</v>
      </c>
      <c r="AH36" t="s">
        <v>79</v>
      </c>
      <c r="AI36" t="s">
        <v>80</v>
      </c>
      <c r="AJ36" s="2">
        <v>2025</v>
      </c>
      <c r="AK36" s="3">
        <v>3.25</v>
      </c>
      <c r="AL36" s="3">
        <v>20</v>
      </c>
      <c r="AM36" s="2">
        <v>96</v>
      </c>
      <c r="AN36" s="2">
        <v>0</v>
      </c>
      <c r="AO36" s="6">
        <v>29900</v>
      </c>
      <c r="AP36" s="3">
        <v>501.79</v>
      </c>
      <c r="AQ36" s="3">
        <v>20</v>
      </c>
      <c r="AR36" s="6">
        <v>5980</v>
      </c>
      <c r="AS36" s="3">
        <v>805.58</v>
      </c>
      <c r="AT36" s="6">
        <v>24786.93</v>
      </c>
      <c r="AU36" s="6">
        <v>23920</v>
      </c>
      <c r="AV36" s="7">
        <v>46133</v>
      </c>
      <c r="AW36" s="3">
        <v>409.84</v>
      </c>
      <c r="AX36" t="s">
        <v>82</v>
      </c>
      <c r="AY36" t="s">
        <v>80</v>
      </c>
      <c r="BB36" t="s">
        <v>83</v>
      </c>
      <c r="BD36" t="s">
        <v>84</v>
      </c>
      <c r="BE36" s="3">
        <v>8000</v>
      </c>
    </row>
    <row r="37" spans="1:59" x14ac:dyDescent="0.3">
      <c r="A37" s="2">
        <v>14331</v>
      </c>
      <c r="B37" s="2">
        <v>268</v>
      </c>
      <c r="C37" t="s">
        <v>59</v>
      </c>
      <c r="D37" t="s">
        <v>60</v>
      </c>
      <c r="F37" t="s">
        <v>61</v>
      </c>
      <c r="G37" s="5">
        <v>117624134</v>
      </c>
      <c r="H37" t="s">
        <v>62</v>
      </c>
      <c r="I37" t="s">
        <v>414</v>
      </c>
      <c r="J37" t="s">
        <v>316</v>
      </c>
      <c r="K37" t="s">
        <v>317</v>
      </c>
      <c r="L37" t="s">
        <v>318</v>
      </c>
      <c r="M37" t="s">
        <v>87</v>
      </c>
      <c r="N37" t="s">
        <v>66</v>
      </c>
      <c r="O37" t="s">
        <v>67</v>
      </c>
      <c r="P37" t="s">
        <v>319</v>
      </c>
      <c r="Q37" t="s">
        <v>229</v>
      </c>
      <c r="S37" t="s">
        <v>127</v>
      </c>
      <c r="T37" t="s">
        <v>462</v>
      </c>
      <c r="U37" s="2">
        <v>5590</v>
      </c>
      <c r="V37" s="2">
        <v>36</v>
      </c>
      <c r="W37" t="s">
        <v>462</v>
      </c>
      <c r="Z37" t="s">
        <v>71</v>
      </c>
      <c r="AA37" t="s">
        <v>72</v>
      </c>
      <c r="AB37" t="s">
        <v>115</v>
      </c>
      <c r="AC37" t="s">
        <v>242</v>
      </c>
      <c r="AD37" t="s">
        <v>320</v>
      </c>
      <c r="AE37" t="s">
        <v>321</v>
      </c>
      <c r="AF37" t="s">
        <v>77</v>
      </c>
      <c r="AG37" t="s">
        <v>78</v>
      </c>
      <c r="AH37" t="s">
        <v>79</v>
      </c>
      <c r="AI37" t="s">
        <v>80</v>
      </c>
      <c r="AJ37" s="2">
        <v>2025</v>
      </c>
      <c r="AK37" s="3">
        <v>3.25</v>
      </c>
      <c r="AL37" s="3">
        <v>15</v>
      </c>
      <c r="AM37" s="2">
        <v>96</v>
      </c>
      <c r="AN37" s="2">
        <v>0</v>
      </c>
      <c r="AO37" s="6">
        <v>44988</v>
      </c>
      <c r="AP37" s="3">
        <v>501.79</v>
      </c>
      <c r="AQ37" s="3">
        <v>20</v>
      </c>
      <c r="AR37" s="6">
        <v>8998</v>
      </c>
      <c r="AS37" s="3">
        <v>1212.05</v>
      </c>
      <c r="AT37" s="6">
        <v>37293.699999999997</v>
      </c>
      <c r="AU37" s="6">
        <v>35989.99</v>
      </c>
      <c r="AV37" s="7">
        <v>46133</v>
      </c>
      <c r="AW37" s="3">
        <v>616.95000000000005</v>
      </c>
      <c r="AX37" t="s">
        <v>80</v>
      </c>
      <c r="AY37" t="s">
        <v>80</v>
      </c>
      <c r="BB37" t="s">
        <v>119</v>
      </c>
      <c r="BC37" t="s">
        <v>140</v>
      </c>
      <c r="BE37" s="3">
        <v>0</v>
      </c>
    </row>
    <row r="38" spans="1:59" x14ac:dyDescent="0.3">
      <c r="A38" s="2">
        <v>14333</v>
      </c>
      <c r="B38" s="2">
        <v>269</v>
      </c>
      <c r="C38" t="s">
        <v>59</v>
      </c>
      <c r="D38" t="s">
        <v>60</v>
      </c>
      <c r="F38" t="s">
        <v>61</v>
      </c>
      <c r="G38" s="5">
        <v>113278222</v>
      </c>
      <c r="H38" t="s">
        <v>62</v>
      </c>
      <c r="I38" t="s">
        <v>412</v>
      </c>
      <c r="J38" t="s">
        <v>195</v>
      </c>
      <c r="K38" t="s">
        <v>288</v>
      </c>
      <c r="L38" t="s">
        <v>322</v>
      </c>
      <c r="M38" t="s">
        <v>87</v>
      </c>
      <c r="N38" t="s">
        <v>66</v>
      </c>
      <c r="O38" t="s">
        <v>67</v>
      </c>
      <c r="P38" t="s">
        <v>323</v>
      </c>
      <c r="Q38" t="s">
        <v>324</v>
      </c>
      <c r="S38" t="s">
        <v>193</v>
      </c>
      <c r="T38" t="s">
        <v>463</v>
      </c>
      <c r="U38" s="2">
        <v>6350</v>
      </c>
      <c r="V38" s="2">
        <v>37</v>
      </c>
      <c r="W38" t="s">
        <v>463</v>
      </c>
      <c r="Z38" t="s">
        <v>71</v>
      </c>
      <c r="AA38" t="s">
        <v>72</v>
      </c>
      <c r="AB38" t="s">
        <v>128</v>
      </c>
      <c r="AC38" t="s">
        <v>74</v>
      </c>
      <c r="AD38" t="s">
        <v>75</v>
      </c>
      <c r="AE38" t="s">
        <v>76</v>
      </c>
      <c r="AF38" t="s">
        <v>77</v>
      </c>
      <c r="AG38" t="s">
        <v>78</v>
      </c>
      <c r="AH38" t="s">
        <v>79</v>
      </c>
      <c r="AI38" t="s">
        <v>80</v>
      </c>
      <c r="AJ38" s="2">
        <v>2026</v>
      </c>
      <c r="AK38" s="3">
        <v>3.25</v>
      </c>
      <c r="AL38" s="3">
        <v>20</v>
      </c>
      <c r="AM38" s="2">
        <v>96</v>
      </c>
      <c r="AN38" s="2">
        <v>0</v>
      </c>
      <c r="AO38" s="6">
        <v>28900</v>
      </c>
      <c r="AP38" s="3">
        <v>501.79</v>
      </c>
      <c r="AQ38" s="3">
        <v>20</v>
      </c>
      <c r="AR38" s="6">
        <v>5780</v>
      </c>
      <c r="AS38" s="3">
        <v>778.52</v>
      </c>
      <c r="AT38" s="6">
        <v>23954.44</v>
      </c>
      <c r="AU38" s="6">
        <v>23120</v>
      </c>
      <c r="AV38" s="7">
        <v>46133</v>
      </c>
      <c r="AW38" s="3">
        <v>392.7</v>
      </c>
      <c r="AX38" t="s">
        <v>82</v>
      </c>
      <c r="AY38" t="s">
        <v>80</v>
      </c>
      <c r="BB38" t="s">
        <v>83</v>
      </c>
      <c r="BD38" t="s">
        <v>84</v>
      </c>
      <c r="BE38" s="3">
        <v>5000</v>
      </c>
    </row>
    <row r="39" spans="1:59" x14ac:dyDescent="0.3">
      <c r="A39" s="2">
        <v>14357</v>
      </c>
      <c r="B39" s="2">
        <v>270</v>
      </c>
      <c r="C39" t="s">
        <v>59</v>
      </c>
      <c r="D39" t="s">
        <v>60</v>
      </c>
      <c r="F39" t="s">
        <v>61</v>
      </c>
      <c r="G39" s="5">
        <v>116912770</v>
      </c>
      <c r="H39" t="s">
        <v>62</v>
      </c>
      <c r="I39" t="s">
        <v>413</v>
      </c>
      <c r="J39" t="s">
        <v>325</v>
      </c>
      <c r="K39" t="s">
        <v>326</v>
      </c>
      <c r="L39" t="s">
        <v>327</v>
      </c>
      <c r="M39" t="s">
        <v>65</v>
      </c>
      <c r="N39" t="s">
        <v>66</v>
      </c>
      <c r="O39" t="s">
        <v>67</v>
      </c>
      <c r="P39" t="s">
        <v>328</v>
      </c>
      <c r="Q39" t="s">
        <v>329</v>
      </c>
      <c r="S39" t="s">
        <v>163</v>
      </c>
      <c r="T39" t="s">
        <v>464</v>
      </c>
      <c r="U39" s="2">
        <v>11720</v>
      </c>
      <c r="V39" s="2">
        <v>38</v>
      </c>
      <c r="W39" t="s">
        <v>464</v>
      </c>
      <c r="Z39" t="s">
        <v>71</v>
      </c>
      <c r="AA39" t="s">
        <v>72</v>
      </c>
      <c r="AB39" t="s">
        <v>91</v>
      </c>
      <c r="AC39" t="s">
        <v>92</v>
      </c>
      <c r="AD39" t="s">
        <v>165</v>
      </c>
      <c r="AE39" t="s">
        <v>330</v>
      </c>
      <c r="AF39" t="s">
        <v>77</v>
      </c>
      <c r="AG39" t="s">
        <v>78</v>
      </c>
      <c r="AH39" t="s">
        <v>79</v>
      </c>
      <c r="AI39" t="s">
        <v>80</v>
      </c>
      <c r="AJ39" s="2">
        <v>2025</v>
      </c>
      <c r="AK39" s="3">
        <v>3.25</v>
      </c>
      <c r="AL39" s="3">
        <v>20</v>
      </c>
      <c r="AM39" s="2">
        <v>84</v>
      </c>
      <c r="AN39" s="2">
        <v>0</v>
      </c>
      <c r="AO39" s="6">
        <v>26490</v>
      </c>
      <c r="AP39" s="3">
        <v>501.79</v>
      </c>
      <c r="AQ39" s="3">
        <v>20.010000000000002</v>
      </c>
      <c r="AR39" s="6">
        <v>5300</v>
      </c>
      <c r="AS39" s="3">
        <v>713.99</v>
      </c>
      <c r="AT39" s="6">
        <v>21968.95</v>
      </c>
      <c r="AU39" s="6">
        <v>21190</v>
      </c>
      <c r="AV39" s="7">
        <v>46133</v>
      </c>
      <c r="AW39" s="3">
        <v>406.26</v>
      </c>
      <c r="AX39" t="s">
        <v>82</v>
      </c>
      <c r="AY39" t="s">
        <v>80</v>
      </c>
      <c r="BB39" t="s">
        <v>83</v>
      </c>
      <c r="BD39" t="s">
        <v>84</v>
      </c>
      <c r="BE39" s="3">
        <v>1000</v>
      </c>
    </row>
    <row r="40" spans="1:59" x14ac:dyDescent="0.3">
      <c r="A40" s="2">
        <v>14366</v>
      </c>
      <c r="B40" s="2">
        <v>272</v>
      </c>
      <c r="C40" t="s">
        <v>59</v>
      </c>
      <c r="D40" t="s">
        <v>60</v>
      </c>
      <c r="F40" t="s">
        <v>61</v>
      </c>
      <c r="G40" s="5">
        <v>702373199</v>
      </c>
      <c r="H40" t="s">
        <v>62</v>
      </c>
      <c r="I40" t="s">
        <v>416</v>
      </c>
      <c r="J40" t="s">
        <v>331</v>
      </c>
      <c r="K40" t="s">
        <v>233</v>
      </c>
      <c r="L40" t="s">
        <v>332</v>
      </c>
      <c r="M40" t="s">
        <v>65</v>
      </c>
      <c r="N40" t="s">
        <v>66</v>
      </c>
      <c r="O40" t="s">
        <v>67</v>
      </c>
      <c r="P40" t="s">
        <v>333</v>
      </c>
      <c r="Q40" t="s">
        <v>90</v>
      </c>
      <c r="S40" t="s">
        <v>334</v>
      </c>
      <c r="T40" t="s">
        <v>465</v>
      </c>
      <c r="U40" s="2">
        <v>1205</v>
      </c>
      <c r="V40" s="2">
        <v>39</v>
      </c>
      <c r="W40" t="s">
        <v>465</v>
      </c>
      <c r="Z40" t="s">
        <v>71</v>
      </c>
      <c r="AA40" t="s">
        <v>72</v>
      </c>
      <c r="AB40" t="s">
        <v>91</v>
      </c>
      <c r="AC40" t="s">
        <v>187</v>
      </c>
      <c r="AD40" t="s">
        <v>188</v>
      </c>
      <c r="AE40" t="s">
        <v>189</v>
      </c>
      <c r="AF40" t="s">
        <v>77</v>
      </c>
      <c r="AG40" t="s">
        <v>78</v>
      </c>
      <c r="AH40" t="s">
        <v>79</v>
      </c>
      <c r="AI40" t="s">
        <v>80</v>
      </c>
      <c r="AJ40" s="2">
        <v>2025</v>
      </c>
      <c r="AK40" s="3">
        <v>3.25</v>
      </c>
      <c r="AL40" s="3">
        <v>20</v>
      </c>
      <c r="AM40" s="2">
        <v>96</v>
      </c>
      <c r="AN40" s="2">
        <v>0</v>
      </c>
      <c r="AO40" s="6">
        <v>33400</v>
      </c>
      <c r="AP40" s="3">
        <v>501.79</v>
      </c>
      <c r="AQ40" s="3">
        <v>20</v>
      </c>
      <c r="AR40" s="6">
        <v>6680</v>
      </c>
      <c r="AS40" s="3">
        <v>900.77</v>
      </c>
      <c r="AT40" s="6">
        <v>27716.07</v>
      </c>
      <c r="AU40" s="6">
        <v>26720</v>
      </c>
      <c r="AV40" s="7">
        <v>46133</v>
      </c>
      <c r="AW40" s="3">
        <v>485.69</v>
      </c>
      <c r="AX40" t="s">
        <v>82</v>
      </c>
      <c r="AY40" t="s">
        <v>80</v>
      </c>
      <c r="BB40" t="s">
        <v>119</v>
      </c>
      <c r="BC40" t="s">
        <v>246</v>
      </c>
      <c r="BE40" s="3">
        <v>0</v>
      </c>
    </row>
    <row r="41" spans="1:59" x14ac:dyDescent="0.3">
      <c r="A41" s="2">
        <v>14368</v>
      </c>
      <c r="B41" s="2">
        <v>273</v>
      </c>
      <c r="C41" t="s">
        <v>59</v>
      </c>
      <c r="D41" t="s">
        <v>60</v>
      </c>
      <c r="E41" s="2">
        <v>452433</v>
      </c>
      <c r="F41" t="s">
        <v>100</v>
      </c>
      <c r="G41" s="5">
        <v>111407498</v>
      </c>
      <c r="H41" t="s">
        <v>101</v>
      </c>
      <c r="I41" t="s">
        <v>416</v>
      </c>
      <c r="J41" t="s">
        <v>335</v>
      </c>
      <c r="K41" t="s">
        <v>336</v>
      </c>
      <c r="L41" t="s">
        <v>337</v>
      </c>
      <c r="M41" t="s">
        <v>65</v>
      </c>
      <c r="N41" t="s">
        <v>88</v>
      </c>
      <c r="O41" t="s">
        <v>104</v>
      </c>
      <c r="P41" t="s">
        <v>338</v>
      </c>
      <c r="Q41" t="s">
        <v>339</v>
      </c>
      <c r="R41" s="2">
        <v>1</v>
      </c>
      <c r="S41" t="s">
        <v>334</v>
      </c>
      <c r="T41" t="s">
        <v>466</v>
      </c>
      <c r="U41" s="2">
        <v>1205</v>
      </c>
      <c r="V41" s="2">
        <v>40</v>
      </c>
      <c r="W41" t="s">
        <v>466</v>
      </c>
      <c r="Z41" t="s">
        <v>71</v>
      </c>
      <c r="AA41" t="s">
        <v>72</v>
      </c>
      <c r="AB41" t="s">
        <v>115</v>
      </c>
      <c r="AC41" t="s">
        <v>187</v>
      </c>
      <c r="AD41" t="s">
        <v>188</v>
      </c>
      <c r="AE41" t="s">
        <v>340</v>
      </c>
      <c r="AF41" t="s">
        <v>77</v>
      </c>
      <c r="AG41" t="s">
        <v>78</v>
      </c>
      <c r="AH41" t="s">
        <v>79</v>
      </c>
      <c r="AI41" t="s">
        <v>80</v>
      </c>
      <c r="AJ41" s="2">
        <v>2025</v>
      </c>
      <c r="AK41" s="3">
        <v>3.25</v>
      </c>
      <c r="AL41" s="3">
        <v>15</v>
      </c>
      <c r="AM41" s="2">
        <v>96</v>
      </c>
      <c r="AN41" s="2">
        <v>0</v>
      </c>
      <c r="AO41" s="6">
        <v>53900</v>
      </c>
      <c r="AP41" s="3">
        <v>501.15</v>
      </c>
      <c r="AQ41" s="3">
        <v>33.4</v>
      </c>
      <c r="AR41" s="6">
        <v>18000</v>
      </c>
      <c r="AS41" s="3">
        <v>1210.23</v>
      </c>
      <c r="AT41" s="6">
        <v>37237.83</v>
      </c>
      <c r="AU41" s="6">
        <v>35900</v>
      </c>
      <c r="AV41" s="7">
        <v>46134</v>
      </c>
      <c r="AW41" s="3">
        <v>652.1</v>
      </c>
      <c r="AX41" t="s">
        <v>82</v>
      </c>
      <c r="AY41" t="s">
        <v>80</v>
      </c>
      <c r="BB41" t="s">
        <v>83</v>
      </c>
      <c r="BD41" t="s">
        <v>84</v>
      </c>
      <c r="BE41" s="3">
        <v>12000</v>
      </c>
    </row>
    <row r="42" spans="1:59" x14ac:dyDescent="0.3">
      <c r="A42" s="2">
        <v>14397</v>
      </c>
      <c r="B42" s="2">
        <v>275</v>
      </c>
      <c r="C42" t="s">
        <v>59</v>
      </c>
      <c r="D42" t="s">
        <v>60</v>
      </c>
      <c r="F42" t="s">
        <v>61</v>
      </c>
      <c r="G42" s="5">
        <v>116371724</v>
      </c>
      <c r="H42" t="s">
        <v>62</v>
      </c>
      <c r="I42" t="s">
        <v>363</v>
      </c>
      <c r="J42" t="s">
        <v>213</v>
      </c>
      <c r="K42" t="s">
        <v>178</v>
      </c>
      <c r="L42" t="s">
        <v>341</v>
      </c>
      <c r="M42" t="s">
        <v>65</v>
      </c>
      <c r="N42" t="s">
        <v>88</v>
      </c>
      <c r="O42" t="s">
        <v>67</v>
      </c>
      <c r="P42" t="s">
        <v>342</v>
      </c>
      <c r="Q42" t="s">
        <v>343</v>
      </c>
      <c r="S42" t="s">
        <v>70</v>
      </c>
      <c r="T42" t="s">
        <v>467</v>
      </c>
      <c r="U42" s="2">
        <v>11713</v>
      </c>
      <c r="V42" s="2">
        <v>41</v>
      </c>
      <c r="W42" t="s">
        <v>467</v>
      </c>
      <c r="Z42" t="s">
        <v>71</v>
      </c>
      <c r="AA42" t="s">
        <v>72</v>
      </c>
      <c r="AB42" t="s">
        <v>115</v>
      </c>
      <c r="AC42" t="s">
        <v>116</v>
      </c>
      <c r="AD42" t="s">
        <v>208</v>
      </c>
      <c r="AE42" t="s">
        <v>209</v>
      </c>
      <c r="AF42" t="s">
        <v>77</v>
      </c>
      <c r="AG42" t="s">
        <v>78</v>
      </c>
      <c r="AH42" t="s">
        <v>79</v>
      </c>
      <c r="AI42" t="s">
        <v>80</v>
      </c>
      <c r="AJ42" s="2">
        <v>2025</v>
      </c>
      <c r="AK42" s="3">
        <v>3.25</v>
      </c>
      <c r="AL42" s="3">
        <v>15</v>
      </c>
      <c r="AM42" s="2">
        <v>84</v>
      </c>
      <c r="AN42" s="2">
        <v>0</v>
      </c>
      <c r="AO42" s="6">
        <v>29900</v>
      </c>
      <c r="AP42" s="3">
        <v>501.88</v>
      </c>
      <c r="AQ42" s="3">
        <v>15</v>
      </c>
      <c r="AR42" s="6">
        <v>4485</v>
      </c>
      <c r="AS42" s="3">
        <v>856.75</v>
      </c>
      <c r="AT42" s="6">
        <v>26361.53</v>
      </c>
      <c r="AU42" s="6">
        <v>25415</v>
      </c>
      <c r="AV42" s="7">
        <v>46135</v>
      </c>
      <c r="AW42" s="3">
        <v>499.33</v>
      </c>
      <c r="AX42" t="s">
        <v>82</v>
      </c>
      <c r="AY42" t="s">
        <v>80</v>
      </c>
      <c r="BB42" t="s">
        <v>83</v>
      </c>
      <c r="BD42" t="s">
        <v>84</v>
      </c>
      <c r="BE42" s="3">
        <v>2500</v>
      </c>
      <c r="BF42" s="2">
        <v>1</v>
      </c>
      <c r="BG42" t="s">
        <v>98</v>
      </c>
    </row>
    <row r="43" spans="1:59" x14ac:dyDescent="0.3">
      <c r="A43" s="2">
        <v>14416</v>
      </c>
      <c r="B43" s="2">
        <v>276</v>
      </c>
      <c r="C43" t="s">
        <v>59</v>
      </c>
      <c r="D43" t="s">
        <v>60</v>
      </c>
      <c r="E43" s="2">
        <v>934661</v>
      </c>
      <c r="F43" t="s">
        <v>100</v>
      </c>
      <c r="G43" s="5">
        <v>112658219</v>
      </c>
      <c r="H43" t="s">
        <v>101</v>
      </c>
      <c r="I43" t="s">
        <v>412</v>
      </c>
      <c r="K43" t="s">
        <v>344</v>
      </c>
      <c r="L43" t="s">
        <v>345</v>
      </c>
      <c r="M43" t="s">
        <v>87</v>
      </c>
      <c r="N43" t="s">
        <v>66</v>
      </c>
      <c r="O43" t="s">
        <v>104</v>
      </c>
      <c r="P43" t="s">
        <v>346</v>
      </c>
      <c r="Q43" t="s">
        <v>347</v>
      </c>
      <c r="R43" s="2">
        <v>1</v>
      </c>
      <c r="S43" t="s">
        <v>127</v>
      </c>
      <c r="T43" t="s">
        <v>468</v>
      </c>
      <c r="U43" s="2">
        <v>5590</v>
      </c>
      <c r="V43" s="2">
        <v>42</v>
      </c>
      <c r="W43" t="s">
        <v>468</v>
      </c>
      <c r="Z43" t="s">
        <v>71</v>
      </c>
      <c r="AA43" t="s">
        <v>72</v>
      </c>
      <c r="AB43" t="s">
        <v>128</v>
      </c>
      <c r="AC43" t="s">
        <v>348</v>
      </c>
      <c r="AD43" t="s">
        <v>349</v>
      </c>
      <c r="AE43" t="s">
        <v>350</v>
      </c>
      <c r="AF43" t="s">
        <v>77</v>
      </c>
      <c r="AG43" t="s">
        <v>78</v>
      </c>
      <c r="AH43" t="s">
        <v>79</v>
      </c>
      <c r="AI43" t="s">
        <v>80</v>
      </c>
      <c r="AJ43" s="2">
        <v>2025</v>
      </c>
      <c r="AK43" s="3">
        <v>3.25</v>
      </c>
      <c r="AL43" s="3">
        <v>20</v>
      </c>
      <c r="AM43" s="2">
        <v>96</v>
      </c>
      <c r="AN43" s="2">
        <v>0</v>
      </c>
      <c r="AO43" s="6">
        <v>37900</v>
      </c>
      <c r="AP43" s="3">
        <v>501.15</v>
      </c>
      <c r="AQ43" s="3">
        <v>20</v>
      </c>
      <c r="AR43" s="6">
        <v>7580</v>
      </c>
      <c r="AS43" s="3">
        <v>1022.6</v>
      </c>
      <c r="AT43" s="6">
        <v>31464.52</v>
      </c>
      <c r="AU43" s="6">
        <v>30320</v>
      </c>
      <c r="AV43" s="7">
        <v>46134</v>
      </c>
      <c r="AW43" s="3">
        <v>564.29</v>
      </c>
      <c r="AX43" t="s">
        <v>80</v>
      </c>
      <c r="AY43" t="s">
        <v>80</v>
      </c>
      <c r="BB43" t="s">
        <v>119</v>
      </c>
      <c r="BC43" t="s">
        <v>351</v>
      </c>
      <c r="BE43" s="3">
        <v>0</v>
      </c>
    </row>
    <row r="44" spans="1:59" x14ac:dyDescent="0.3">
      <c r="A44" s="2">
        <v>14418</v>
      </c>
      <c r="B44" s="2">
        <v>277</v>
      </c>
      <c r="C44" t="s">
        <v>59</v>
      </c>
      <c r="D44" t="s">
        <v>60</v>
      </c>
      <c r="F44" t="s">
        <v>61</v>
      </c>
      <c r="G44" s="5">
        <v>700961625</v>
      </c>
      <c r="H44" t="s">
        <v>62</v>
      </c>
      <c r="I44" t="s">
        <v>362</v>
      </c>
      <c r="J44" t="s">
        <v>413</v>
      </c>
      <c r="K44" t="s">
        <v>352</v>
      </c>
      <c r="L44" t="s">
        <v>353</v>
      </c>
      <c r="M44" t="s">
        <v>87</v>
      </c>
      <c r="N44" t="s">
        <v>257</v>
      </c>
      <c r="O44" t="s">
        <v>67</v>
      </c>
      <c r="P44" t="s">
        <v>354</v>
      </c>
      <c r="Q44" t="s">
        <v>355</v>
      </c>
      <c r="S44" t="s">
        <v>356</v>
      </c>
      <c r="T44" t="s">
        <v>469</v>
      </c>
      <c r="U44" s="2">
        <v>16615</v>
      </c>
      <c r="V44" s="2">
        <v>43</v>
      </c>
      <c r="W44" t="s">
        <v>469</v>
      </c>
      <c r="Z44" t="s">
        <v>71</v>
      </c>
      <c r="AA44" t="s">
        <v>72</v>
      </c>
      <c r="AB44" t="s">
        <v>91</v>
      </c>
      <c r="AC44" t="s">
        <v>187</v>
      </c>
      <c r="AD44" t="s">
        <v>188</v>
      </c>
      <c r="AE44" t="s">
        <v>237</v>
      </c>
      <c r="AF44" t="s">
        <v>77</v>
      </c>
      <c r="AG44" t="s">
        <v>78</v>
      </c>
      <c r="AH44" t="s">
        <v>79</v>
      </c>
      <c r="AI44" t="s">
        <v>80</v>
      </c>
      <c r="AJ44" s="2">
        <v>2025</v>
      </c>
      <c r="AK44" s="3">
        <v>3.25</v>
      </c>
      <c r="AL44" s="3">
        <v>20</v>
      </c>
      <c r="AM44" s="2">
        <v>96</v>
      </c>
      <c r="AN44" s="2">
        <v>0</v>
      </c>
      <c r="AO44" s="6">
        <v>26900</v>
      </c>
      <c r="AP44" s="3">
        <v>501.15</v>
      </c>
      <c r="AQ44" s="3">
        <v>29.74</v>
      </c>
      <c r="AR44" s="6">
        <v>8000</v>
      </c>
      <c r="AS44" s="3">
        <v>638.51</v>
      </c>
      <c r="AT44" s="6">
        <v>19646.48</v>
      </c>
      <c r="AU44" s="6">
        <v>18900</v>
      </c>
      <c r="AV44" s="7">
        <v>46134</v>
      </c>
      <c r="AW44" s="3">
        <v>384.69</v>
      </c>
      <c r="AX44" t="s">
        <v>82</v>
      </c>
      <c r="AY44" t="s">
        <v>80</v>
      </c>
      <c r="BB44" t="s">
        <v>110</v>
      </c>
      <c r="BE44" s="3">
        <v>0</v>
      </c>
    </row>
    <row r="45" spans="1:59" x14ac:dyDescent="0.3">
      <c r="A45" s="2">
        <v>14431</v>
      </c>
      <c r="B45" s="2">
        <v>278</v>
      </c>
      <c r="C45" t="s">
        <v>59</v>
      </c>
      <c r="D45" t="s">
        <v>60</v>
      </c>
      <c r="E45" s="2">
        <v>54941</v>
      </c>
      <c r="F45" t="s">
        <v>100</v>
      </c>
      <c r="G45" s="5">
        <v>109378411</v>
      </c>
      <c r="H45" t="s">
        <v>101</v>
      </c>
      <c r="I45" t="s">
        <v>362</v>
      </c>
      <c r="J45" t="s">
        <v>260</v>
      </c>
      <c r="K45" t="s">
        <v>357</v>
      </c>
      <c r="L45" t="s">
        <v>358</v>
      </c>
      <c r="M45" t="s">
        <v>87</v>
      </c>
      <c r="N45" t="s">
        <v>88</v>
      </c>
      <c r="O45" t="s">
        <v>104</v>
      </c>
      <c r="P45" t="s">
        <v>359</v>
      </c>
      <c r="Q45" t="s">
        <v>259</v>
      </c>
      <c r="R45" s="2">
        <v>2</v>
      </c>
      <c r="S45" t="s">
        <v>334</v>
      </c>
      <c r="T45" t="s">
        <v>470</v>
      </c>
      <c r="U45" s="2">
        <v>1205</v>
      </c>
      <c r="V45" s="2">
        <v>44</v>
      </c>
      <c r="W45" t="s">
        <v>470</v>
      </c>
      <c r="Z45" t="s">
        <v>71</v>
      </c>
      <c r="AA45" t="s">
        <v>72</v>
      </c>
      <c r="AB45" t="s">
        <v>91</v>
      </c>
      <c r="AC45" t="s">
        <v>187</v>
      </c>
      <c r="AD45" t="s">
        <v>188</v>
      </c>
      <c r="AE45" t="s">
        <v>275</v>
      </c>
      <c r="AF45" t="s">
        <v>77</v>
      </c>
      <c r="AG45" t="s">
        <v>78</v>
      </c>
      <c r="AH45" t="s">
        <v>79</v>
      </c>
      <c r="AI45" t="s">
        <v>80</v>
      </c>
      <c r="AJ45" s="2">
        <v>2025</v>
      </c>
      <c r="AK45" s="3">
        <v>3.25</v>
      </c>
      <c r="AL45" s="3">
        <v>20</v>
      </c>
      <c r="AM45" s="2">
        <v>96</v>
      </c>
      <c r="AN45" s="2">
        <v>0</v>
      </c>
      <c r="AO45" s="6">
        <v>42900</v>
      </c>
      <c r="AP45" s="3">
        <v>501.15</v>
      </c>
      <c r="AQ45" s="3">
        <v>20</v>
      </c>
      <c r="AR45" s="6">
        <v>8580</v>
      </c>
      <c r="AS45" s="3">
        <v>1155.25</v>
      </c>
      <c r="AT45" s="6">
        <v>35546.089999999997</v>
      </c>
      <c r="AU45" s="6">
        <v>34320</v>
      </c>
      <c r="AV45" s="7">
        <v>46134</v>
      </c>
      <c r="AW45" s="3">
        <v>571.51</v>
      </c>
      <c r="AX45" t="s">
        <v>82</v>
      </c>
      <c r="AY45" t="s">
        <v>80</v>
      </c>
      <c r="BB45" t="s">
        <v>83</v>
      </c>
      <c r="BD45" t="s">
        <v>84</v>
      </c>
      <c r="BE45" s="3">
        <v>5000</v>
      </c>
    </row>
    <row r="46" spans="1:59" x14ac:dyDescent="0.3">
      <c r="A46" s="2">
        <v>14432</v>
      </c>
      <c r="B46" s="2">
        <v>279</v>
      </c>
      <c r="C46" t="s">
        <v>59</v>
      </c>
      <c r="D46" t="s">
        <v>60</v>
      </c>
      <c r="E46" s="2">
        <v>360436</v>
      </c>
      <c r="F46" t="s">
        <v>100</v>
      </c>
      <c r="G46" s="5">
        <v>401494170</v>
      </c>
      <c r="H46" t="s">
        <v>101</v>
      </c>
      <c r="I46" t="s">
        <v>195</v>
      </c>
      <c r="J46" t="s">
        <v>122</v>
      </c>
      <c r="K46" t="s">
        <v>123</v>
      </c>
      <c r="L46" t="s">
        <v>124</v>
      </c>
      <c r="M46" t="s">
        <v>87</v>
      </c>
      <c r="N46" t="s">
        <v>360</v>
      </c>
      <c r="O46" t="s">
        <v>104</v>
      </c>
      <c r="P46" t="s">
        <v>125</v>
      </c>
      <c r="Q46" t="s">
        <v>126</v>
      </c>
      <c r="R46" s="2">
        <v>2</v>
      </c>
      <c r="S46" t="s">
        <v>127</v>
      </c>
      <c r="T46" t="s">
        <v>471</v>
      </c>
      <c r="U46" s="2">
        <v>5590</v>
      </c>
      <c r="V46" s="2">
        <v>45</v>
      </c>
      <c r="W46" t="s">
        <v>471</v>
      </c>
      <c r="Z46" t="s">
        <v>71</v>
      </c>
      <c r="AA46" t="s">
        <v>72</v>
      </c>
      <c r="AB46" t="s">
        <v>128</v>
      </c>
      <c r="AC46" t="s">
        <v>74</v>
      </c>
      <c r="AD46" t="s">
        <v>75</v>
      </c>
      <c r="AE46" t="s">
        <v>76</v>
      </c>
      <c r="AF46" t="s">
        <v>77</v>
      </c>
      <c r="AG46" t="s">
        <v>78</v>
      </c>
      <c r="AH46" t="s">
        <v>79</v>
      </c>
      <c r="AI46" t="s">
        <v>80</v>
      </c>
      <c r="AJ46" s="2">
        <v>2025</v>
      </c>
      <c r="AK46" s="3">
        <v>3.25</v>
      </c>
      <c r="AL46" s="3">
        <v>20</v>
      </c>
      <c r="AM46" s="2">
        <v>96</v>
      </c>
      <c r="AN46" s="2">
        <v>0</v>
      </c>
      <c r="AO46" s="6">
        <v>33900</v>
      </c>
      <c r="AP46" s="3">
        <v>501.15</v>
      </c>
      <c r="AQ46" s="3">
        <v>20</v>
      </c>
      <c r="AR46" s="6">
        <v>24500</v>
      </c>
      <c r="AS46" s="3">
        <v>318.35000000000002</v>
      </c>
      <c r="AT46" s="6">
        <v>9795.27</v>
      </c>
      <c r="AU46" s="6">
        <v>9399.99</v>
      </c>
      <c r="AV46" s="7">
        <v>46134</v>
      </c>
      <c r="AW46" s="3">
        <v>214.65</v>
      </c>
      <c r="AX46" t="s">
        <v>80</v>
      </c>
      <c r="AY46" t="s">
        <v>80</v>
      </c>
      <c r="BB46" t="s">
        <v>110</v>
      </c>
      <c r="BE46" s="3">
        <v>0</v>
      </c>
    </row>
    <row r="47" spans="1:59" x14ac:dyDescent="0.3">
      <c r="A47" s="2">
        <v>14434</v>
      </c>
      <c r="B47" s="2">
        <v>280</v>
      </c>
      <c r="C47" t="s">
        <v>59</v>
      </c>
      <c r="D47" t="s">
        <v>60</v>
      </c>
      <c r="E47" s="2">
        <v>360436</v>
      </c>
      <c r="F47" t="s">
        <v>100</v>
      </c>
      <c r="G47" s="5">
        <v>401493738</v>
      </c>
      <c r="H47" t="s">
        <v>101</v>
      </c>
      <c r="I47" t="s">
        <v>416</v>
      </c>
      <c r="J47" t="s">
        <v>425</v>
      </c>
      <c r="K47" t="s">
        <v>123</v>
      </c>
      <c r="L47" t="s">
        <v>124</v>
      </c>
      <c r="M47" t="s">
        <v>87</v>
      </c>
      <c r="N47" t="s">
        <v>360</v>
      </c>
      <c r="O47" t="s">
        <v>104</v>
      </c>
      <c r="P47" t="s">
        <v>125</v>
      </c>
      <c r="Q47" t="s">
        <v>126</v>
      </c>
      <c r="R47" s="2">
        <v>2</v>
      </c>
      <c r="S47" t="s">
        <v>127</v>
      </c>
      <c r="T47" t="s">
        <v>472</v>
      </c>
      <c r="U47" s="2">
        <v>5590</v>
      </c>
      <c r="V47" s="2">
        <v>46</v>
      </c>
      <c r="W47" t="s">
        <v>472</v>
      </c>
      <c r="Z47" t="s">
        <v>71</v>
      </c>
      <c r="AA47" t="s">
        <v>72</v>
      </c>
      <c r="AB47" t="s">
        <v>128</v>
      </c>
      <c r="AC47" t="s">
        <v>74</v>
      </c>
      <c r="AD47" t="s">
        <v>75</v>
      </c>
      <c r="AE47" t="s">
        <v>361</v>
      </c>
      <c r="AF47" t="s">
        <v>77</v>
      </c>
      <c r="AG47" t="s">
        <v>78</v>
      </c>
      <c r="AH47" t="s">
        <v>79</v>
      </c>
      <c r="AI47" t="s">
        <v>80</v>
      </c>
      <c r="AJ47" s="2">
        <v>2025</v>
      </c>
      <c r="AK47" s="3">
        <v>3.25</v>
      </c>
      <c r="AL47" s="3">
        <v>20</v>
      </c>
      <c r="AM47" s="2">
        <v>96</v>
      </c>
      <c r="AN47" s="2">
        <v>0</v>
      </c>
      <c r="AO47" s="6">
        <v>25900</v>
      </c>
      <c r="AP47" s="3">
        <v>501.15</v>
      </c>
      <c r="AQ47" s="3">
        <v>20</v>
      </c>
      <c r="AR47" s="6">
        <v>5180</v>
      </c>
      <c r="AS47" s="3">
        <v>697.99</v>
      </c>
      <c r="AT47" s="6">
        <v>21476.7</v>
      </c>
      <c r="AU47" s="6">
        <v>20720</v>
      </c>
      <c r="AV47" s="7">
        <v>46134</v>
      </c>
      <c r="AW47" s="3">
        <v>360.66</v>
      </c>
      <c r="AX47" t="s">
        <v>80</v>
      </c>
      <c r="AY47" t="s">
        <v>80</v>
      </c>
      <c r="BB47" t="s">
        <v>110</v>
      </c>
      <c r="BE47" s="3">
        <v>0</v>
      </c>
    </row>
    <row r="48" spans="1:59" x14ac:dyDescent="0.3">
      <c r="A48" s="2">
        <v>14439</v>
      </c>
      <c r="B48" s="2">
        <v>281</v>
      </c>
      <c r="C48" t="s">
        <v>59</v>
      </c>
      <c r="D48" t="s">
        <v>60</v>
      </c>
      <c r="E48" s="2">
        <v>369414</v>
      </c>
      <c r="F48" t="s">
        <v>100</v>
      </c>
      <c r="G48" s="5">
        <v>113838865</v>
      </c>
      <c r="H48" t="s">
        <v>101</v>
      </c>
      <c r="I48" t="s">
        <v>363</v>
      </c>
      <c r="J48" t="s">
        <v>363</v>
      </c>
      <c r="K48" t="s">
        <v>364</v>
      </c>
      <c r="L48" t="s">
        <v>251</v>
      </c>
      <c r="M48" t="s">
        <v>65</v>
      </c>
      <c r="N48" t="s">
        <v>66</v>
      </c>
      <c r="O48" t="s">
        <v>104</v>
      </c>
      <c r="P48" t="s">
        <v>365</v>
      </c>
      <c r="Q48" t="s">
        <v>366</v>
      </c>
      <c r="R48" s="2">
        <v>1</v>
      </c>
      <c r="S48" t="s">
        <v>356</v>
      </c>
      <c r="T48" t="s">
        <v>473</v>
      </c>
      <c r="U48" s="2">
        <v>5968</v>
      </c>
      <c r="V48" s="2">
        <v>47</v>
      </c>
      <c r="W48" t="s">
        <v>473</v>
      </c>
      <c r="Z48" t="s">
        <v>71</v>
      </c>
      <c r="AA48" t="s">
        <v>72</v>
      </c>
      <c r="AB48" t="s">
        <v>91</v>
      </c>
      <c r="AC48" t="s">
        <v>129</v>
      </c>
      <c r="AD48" t="s">
        <v>292</v>
      </c>
      <c r="AE48" t="s">
        <v>299</v>
      </c>
      <c r="AF48" t="s">
        <v>77</v>
      </c>
      <c r="AG48" t="s">
        <v>78</v>
      </c>
      <c r="AH48" t="s">
        <v>79</v>
      </c>
      <c r="AI48" t="s">
        <v>80</v>
      </c>
      <c r="AJ48" s="2">
        <v>2025</v>
      </c>
      <c r="AK48" s="3">
        <v>3.25</v>
      </c>
      <c r="AL48" s="3">
        <v>20</v>
      </c>
      <c r="AM48" s="2">
        <v>96</v>
      </c>
      <c r="AN48" s="2">
        <v>0</v>
      </c>
      <c r="AO48" s="6">
        <v>35400</v>
      </c>
      <c r="AP48" s="3">
        <v>501.15</v>
      </c>
      <c r="AQ48" s="3">
        <v>20</v>
      </c>
      <c r="AR48" s="6">
        <v>7080</v>
      </c>
      <c r="AS48" s="3">
        <v>954.39</v>
      </c>
      <c r="AT48" s="6">
        <v>29365.83</v>
      </c>
      <c r="AU48" s="6">
        <v>28320</v>
      </c>
      <c r="AV48" s="7">
        <v>46134</v>
      </c>
      <c r="AW48" s="3">
        <v>505.06</v>
      </c>
      <c r="AX48" t="s">
        <v>82</v>
      </c>
      <c r="AY48" t="s">
        <v>80</v>
      </c>
      <c r="BB48" t="s">
        <v>119</v>
      </c>
      <c r="BC48" t="s">
        <v>231</v>
      </c>
      <c r="BE48" s="3">
        <v>0</v>
      </c>
    </row>
    <row r="49" spans="1:59" x14ac:dyDescent="0.3">
      <c r="A49" s="2">
        <v>14440</v>
      </c>
      <c r="B49" s="2">
        <v>282</v>
      </c>
      <c r="C49" t="s">
        <v>59</v>
      </c>
      <c r="D49" t="s">
        <v>60</v>
      </c>
      <c r="F49" t="s">
        <v>61</v>
      </c>
      <c r="G49" s="5">
        <v>116371715</v>
      </c>
      <c r="H49" t="s">
        <v>62</v>
      </c>
      <c r="I49" t="s">
        <v>362</v>
      </c>
      <c r="J49" t="s">
        <v>213</v>
      </c>
      <c r="K49" t="s">
        <v>178</v>
      </c>
      <c r="L49" t="s">
        <v>341</v>
      </c>
      <c r="M49" t="s">
        <v>65</v>
      </c>
      <c r="N49" t="s">
        <v>88</v>
      </c>
      <c r="O49" t="s">
        <v>67</v>
      </c>
      <c r="P49" t="s">
        <v>342</v>
      </c>
      <c r="Q49" t="s">
        <v>343</v>
      </c>
      <c r="S49" t="s">
        <v>70</v>
      </c>
      <c r="T49" t="s">
        <v>474</v>
      </c>
      <c r="U49" s="2">
        <v>11713</v>
      </c>
      <c r="V49" s="2">
        <v>48</v>
      </c>
      <c r="W49" t="s">
        <v>474</v>
      </c>
      <c r="Z49" t="s">
        <v>71</v>
      </c>
      <c r="AA49" t="s">
        <v>72</v>
      </c>
      <c r="AB49" t="s">
        <v>115</v>
      </c>
      <c r="AC49" t="s">
        <v>116</v>
      </c>
      <c r="AD49" t="s">
        <v>208</v>
      </c>
      <c r="AE49" t="s">
        <v>209</v>
      </c>
      <c r="AF49" t="s">
        <v>77</v>
      </c>
      <c r="AG49" t="s">
        <v>78</v>
      </c>
      <c r="AH49" t="s">
        <v>79</v>
      </c>
      <c r="AI49" t="s">
        <v>80</v>
      </c>
      <c r="AJ49" s="2">
        <v>2025</v>
      </c>
      <c r="AK49" s="3">
        <v>3.25</v>
      </c>
      <c r="AL49" s="3">
        <v>15</v>
      </c>
      <c r="AM49" s="2">
        <v>84</v>
      </c>
      <c r="AN49" s="2">
        <v>0</v>
      </c>
      <c r="AO49" s="6">
        <v>29900</v>
      </c>
      <c r="AP49" s="3">
        <v>501.15</v>
      </c>
      <c r="AQ49" s="3">
        <v>15</v>
      </c>
      <c r="AR49" s="6">
        <v>4485</v>
      </c>
      <c r="AS49" s="3">
        <v>856.75</v>
      </c>
      <c r="AT49" s="6">
        <v>26361.53</v>
      </c>
      <c r="AU49" s="6">
        <v>25415</v>
      </c>
      <c r="AV49" s="7">
        <v>46134</v>
      </c>
      <c r="AW49" s="3">
        <v>499.33</v>
      </c>
      <c r="AX49" t="s">
        <v>82</v>
      </c>
      <c r="AY49" t="s">
        <v>80</v>
      </c>
      <c r="BB49" t="s">
        <v>119</v>
      </c>
      <c r="BC49" t="s">
        <v>249</v>
      </c>
      <c r="BD49" t="s">
        <v>84</v>
      </c>
      <c r="BE49" s="3">
        <v>3000</v>
      </c>
    </row>
    <row r="50" spans="1:59" x14ac:dyDescent="0.3">
      <c r="A50" s="2">
        <v>14447</v>
      </c>
      <c r="B50" s="2">
        <v>283</v>
      </c>
      <c r="C50" t="s">
        <v>59</v>
      </c>
      <c r="D50" t="s">
        <v>60</v>
      </c>
      <c r="F50" t="s">
        <v>61</v>
      </c>
      <c r="G50" s="5">
        <v>603682689</v>
      </c>
      <c r="H50" t="s">
        <v>62</v>
      </c>
      <c r="I50" t="s">
        <v>416</v>
      </c>
      <c r="K50" t="s">
        <v>367</v>
      </c>
      <c r="L50" t="s">
        <v>134</v>
      </c>
      <c r="M50" t="s">
        <v>87</v>
      </c>
      <c r="N50" t="s">
        <v>66</v>
      </c>
      <c r="O50" t="s">
        <v>67</v>
      </c>
      <c r="P50" t="s">
        <v>368</v>
      </c>
      <c r="Q50" t="s">
        <v>369</v>
      </c>
      <c r="S50" t="s">
        <v>163</v>
      </c>
      <c r="T50" t="s">
        <v>475</v>
      </c>
      <c r="U50" s="2">
        <v>11720</v>
      </c>
      <c r="V50" s="2">
        <v>49</v>
      </c>
      <c r="W50" t="s">
        <v>475</v>
      </c>
      <c r="Z50" t="s">
        <v>71</v>
      </c>
      <c r="AA50" t="s">
        <v>72</v>
      </c>
      <c r="AB50" t="s">
        <v>91</v>
      </c>
      <c r="AC50" t="s">
        <v>187</v>
      </c>
      <c r="AD50" t="s">
        <v>188</v>
      </c>
      <c r="AE50" t="s">
        <v>189</v>
      </c>
      <c r="AF50" t="s">
        <v>77</v>
      </c>
      <c r="AG50" t="s">
        <v>78</v>
      </c>
      <c r="AH50" t="s">
        <v>79</v>
      </c>
      <c r="AI50" t="s">
        <v>80</v>
      </c>
      <c r="AJ50" s="2">
        <v>2026</v>
      </c>
      <c r="AK50" s="3">
        <v>3.25</v>
      </c>
      <c r="AL50" s="3">
        <v>20</v>
      </c>
      <c r="AM50" s="2">
        <v>96</v>
      </c>
      <c r="AN50" s="2">
        <v>0</v>
      </c>
      <c r="AO50" s="6">
        <v>32250</v>
      </c>
      <c r="AP50" s="3">
        <v>501.88</v>
      </c>
      <c r="AQ50" s="3">
        <v>34.11</v>
      </c>
      <c r="AR50" s="6">
        <v>11000</v>
      </c>
      <c r="AS50" s="3">
        <v>717.54</v>
      </c>
      <c r="AT50" s="6">
        <v>22078.03</v>
      </c>
      <c r="AU50" s="6">
        <v>21250</v>
      </c>
      <c r="AV50" s="7">
        <v>46135</v>
      </c>
      <c r="AW50" s="3">
        <v>421.46</v>
      </c>
      <c r="AX50" t="s">
        <v>82</v>
      </c>
      <c r="AY50" t="s">
        <v>80</v>
      </c>
      <c r="BB50" t="s">
        <v>83</v>
      </c>
      <c r="BD50" t="s">
        <v>84</v>
      </c>
      <c r="BE50" s="3">
        <v>10000</v>
      </c>
    </row>
    <row r="51" spans="1:59" x14ac:dyDescent="0.3">
      <c r="A51" s="2">
        <v>14488</v>
      </c>
      <c r="B51" s="2">
        <v>285</v>
      </c>
      <c r="C51" t="s">
        <v>59</v>
      </c>
      <c r="D51" t="s">
        <v>60</v>
      </c>
      <c r="E51" s="2">
        <v>981952</v>
      </c>
      <c r="F51" t="s">
        <v>100</v>
      </c>
      <c r="G51" s="5">
        <v>109344654</v>
      </c>
      <c r="H51" t="s">
        <v>101</v>
      </c>
      <c r="I51" t="s">
        <v>415</v>
      </c>
      <c r="K51" t="s">
        <v>135</v>
      </c>
      <c r="L51" t="s">
        <v>276</v>
      </c>
      <c r="M51" t="s">
        <v>65</v>
      </c>
      <c r="N51" t="s">
        <v>66</v>
      </c>
      <c r="O51" t="s">
        <v>104</v>
      </c>
      <c r="P51" t="s">
        <v>370</v>
      </c>
      <c r="Q51" t="s">
        <v>223</v>
      </c>
      <c r="R51" s="2">
        <v>1</v>
      </c>
      <c r="S51" t="s">
        <v>163</v>
      </c>
      <c r="T51" t="s">
        <v>476</v>
      </c>
      <c r="U51" s="2">
        <v>11720</v>
      </c>
      <c r="V51" s="2">
        <v>50</v>
      </c>
      <c r="W51" t="s">
        <v>476</v>
      </c>
      <c r="Z51" t="s">
        <v>71</v>
      </c>
      <c r="AA51" t="s">
        <v>72</v>
      </c>
      <c r="AB51" t="s">
        <v>115</v>
      </c>
      <c r="AC51" t="s">
        <v>116</v>
      </c>
      <c r="AD51" t="s">
        <v>371</v>
      </c>
      <c r="AE51" t="s">
        <v>372</v>
      </c>
      <c r="AF51" t="s">
        <v>77</v>
      </c>
      <c r="AG51" t="s">
        <v>78</v>
      </c>
      <c r="AH51" t="s">
        <v>79</v>
      </c>
      <c r="AI51" t="s">
        <v>80</v>
      </c>
      <c r="AJ51" s="2">
        <v>2026</v>
      </c>
      <c r="AK51" s="3">
        <v>3.25</v>
      </c>
      <c r="AL51" s="3">
        <v>15</v>
      </c>
      <c r="AM51" s="2">
        <v>96</v>
      </c>
      <c r="AN51" s="2">
        <v>0</v>
      </c>
      <c r="AO51" s="6">
        <v>52700</v>
      </c>
      <c r="AP51" s="3">
        <v>502.95</v>
      </c>
      <c r="AQ51" s="3">
        <v>15</v>
      </c>
      <c r="AR51" s="6">
        <v>7905</v>
      </c>
      <c r="AS51" s="3">
        <v>1508.9</v>
      </c>
      <c r="AT51" s="6">
        <v>46427.63</v>
      </c>
      <c r="AU51" s="6">
        <v>44795</v>
      </c>
      <c r="AV51" s="7">
        <v>46136</v>
      </c>
      <c r="AW51" s="3">
        <v>777.67</v>
      </c>
      <c r="AX51" t="s">
        <v>82</v>
      </c>
      <c r="AY51" t="s">
        <v>80</v>
      </c>
      <c r="BB51" t="s">
        <v>83</v>
      </c>
      <c r="BD51" t="s">
        <v>84</v>
      </c>
      <c r="BE51" s="3">
        <v>5000</v>
      </c>
      <c r="BF51" s="2">
        <v>1</v>
      </c>
      <c r="BG51" t="s">
        <v>96</v>
      </c>
    </row>
    <row r="52" spans="1:59" x14ac:dyDescent="0.3">
      <c r="A52" s="2">
        <v>14511</v>
      </c>
      <c r="B52" s="2">
        <v>286</v>
      </c>
      <c r="C52" t="s">
        <v>59</v>
      </c>
      <c r="D52" t="s">
        <v>60</v>
      </c>
      <c r="E52" s="2">
        <v>1038786</v>
      </c>
      <c r="F52" t="s">
        <v>100</v>
      </c>
      <c r="G52" s="5">
        <v>116251451</v>
      </c>
      <c r="H52" t="s">
        <v>101</v>
      </c>
      <c r="I52" t="s">
        <v>414</v>
      </c>
      <c r="J52" t="s">
        <v>426</v>
      </c>
      <c r="K52" t="s">
        <v>134</v>
      </c>
      <c r="L52" t="s">
        <v>373</v>
      </c>
      <c r="M52" t="s">
        <v>65</v>
      </c>
      <c r="N52" t="s">
        <v>66</v>
      </c>
      <c r="O52" t="s">
        <v>104</v>
      </c>
      <c r="P52" t="s">
        <v>374</v>
      </c>
      <c r="Q52" t="s">
        <v>375</v>
      </c>
      <c r="R52" s="2">
        <v>7</v>
      </c>
      <c r="S52" t="s">
        <v>127</v>
      </c>
      <c r="T52" t="s">
        <v>477</v>
      </c>
      <c r="U52" s="2">
        <v>5590</v>
      </c>
      <c r="V52" s="2">
        <v>51</v>
      </c>
      <c r="W52" t="s">
        <v>477</v>
      </c>
      <c r="Z52" t="s">
        <v>71</v>
      </c>
      <c r="AA52" t="s">
        <v>72</v>
      </c>
      <c r="AB52" t="s">
        <v>115</v>
      </c>
      <c r="AC52" t="s">
        <v>92</v>
      </c>
      <c r="AD52" t="s">
        <v>165</v>
      </c>
      <c r="AE52" t="s">
        <v>194</v>
      </c>
      <c r="AF52" t="s">
        <v>77</v>
      </c>
      <c r="AG52" t="s">
        <v>78</v>
      </c>
      <c r="AH52" t="s">
        <v>79</v>
      </c>
      <c r="AI52" t="s">
        <v>80</v>
      </c>
      <c r="AJ52" s="2">
        <v>2025</v>
      </c>
      <c r="AK52" s="3">
        <v>3.25</v>
      </c>
      <c r="AL52" s="3">
        <v>15</v>
      </c>
      <c r="AM52" s="2">
        <v>96</v>
      </c>
      <c r="AN52" s="2">
        <v>0</v>
      </c>
      <c r="AO52" s="6">
        <v>22500</v>
      </c>
      <c r="AP52" s="3">
        <v>502.95</v>
      </c>
      <c r="AQ52" s="3">
        <v>20</v>
      </c>
      <c r="AR52" s="6">
        <v>4500</v>
      </c>
      <c r="AS52" s="3">
        <v>607.28</v>
      </c>
      <c r="AT52" s="6">
        <v>18685.400000000001</v>
      </c>
      <c r="AU52" s="6">
        <v>18000</v>
      </c>
      <c r="AV52" s="7">
        <v>46136</v>
      </c>
      <c r="AW52" s="3">
        <v>341.31</v>
      </c>
      <c r="AX52" t="s">
        <v>82</v>
      </c>
      <c r="AY52" t="s">
        <v>80</v>
      </c>
      <c r="BB52" t="s">
        <v>119</v>
      </c>
      <c r="BC52" t="s">
        <v>120</v>
      </c>
      <c r="BE52" s="3">
        <v>0</v>
      </c>
    </row>
    <row r="53" spans="1:59" x14ac:dyDescent="0.3">
      <c r="A53" s="2">
        <v>14516</v>
      </c>
      <c r="B53" s="2">
        <v>287</v>
      </c>
      <c r="C53" t="s">
        <v>59</v>
      </c>
      <c r="D53" t="s">
        <v>60</v>
      </c>
      <c r="E53" s="2">
        <v>576726</v>
      </c>
      <c r="F53" t="s">
        <v>100</v>
      </c>
      <c r="G53" s="5">
        <v>801184426</v>
      </c>
      <c r="H53" t="s">
        <v>101</v>
      </c>
      <c r="I53" t="s">
        <v>363</v>
      </c>
      <c r="J53" t="s">
        <v>157</v>
      </c>
      <c r="K53" t="s">
        <v>376</v>
      </c>
      <c r="L53" t="s">
        <v>377</v>
      </c>
      <c r="M53" t="s">
        <v>65</v>
      </c>
      <c r="N53" t="s">
        <v>66</v>
      </c>
      <c r="O53" t="s">
        <v>104</v>
      </c>
      <c r="P53" t="s">
        <v>378</v>
      </c>
      <c r="Q53" t="s">
        <v>379</v>
      </c>
      <c r="R53" s="2">
        <v>1</v>
      </c>
      <c r="S53" t="s">
        <v>127</v>
      </c>
      <c r="T53" t="s">
        <v>478</v>
      </c>
      <c r="U53" s="2">
        <v>5590</v>
      </c>
      <c r="V53" s="2">
        <v>52</v>
      </c>
      <c r="W53" t="s">
        <v>478</v>
      </c>
      <c r="Z53" t="s">
        <v>71</v>
      </c>
      <c r="AA53" t="s">
        <v>72</v>
      </c>
      <c r="AB53" t="s">
        <v>91</v>
      </c>
      <c r="AC53" t="s">
        <v>74</v>
      </c>
      <c r="AD53" t="s">
        <v>292</v>
      </c>
      <c r="AE53" t="s">
        <v>130</v>
      </c>
      <c r="AF53" t="s">
        <v>77</v>
      </c>
      <c r="AG53" t="s">
        <v>78</v>
      </c>
      <c r="AH53" t="s">
        <v>79</v>
      </c>
      <c r="AI53" t="s">
        <v>80</v>
      </c>
      <c r="AJ53" s="2">
        <v>2025</v>
      </c>
      <c r="AK53" s="3">
        <v>3.25</v>
      </c>
      <c r="AL53" s="3">
        <v>20</v>
      </c>
      <c r="AM53" s="2">
        <v>96</v>
      </c>
      <c r="AN53" s="2">
        <v>0</v>
      </c>
      <c r="AO53" s="6">
        <v>35900</v>
      </c>
      <c r="AP53" s="3">
        <v>502.95</v>
      </c>
      <c r="AQ53" s="3">
        <v>40</v>
      </c>
      <c r="AR53" s="6">
        <v>14360</v>
      </c>
      <c r="AS53" s="3">
        <v>726.9</v>
      </c>
      <c r="AT53" s="6">
        <v>22366.14</v>
      </c>
      <c r="AU53" s="6">
        <v>21540</v>
      </c>
      <c r="AV53" s="7">
        <v>46136</v>
      </c>
      <c r="AW53" s="3">
        <v>414.27</v>
      </c>
      <c r="AX53" t="s">
        <v>82</v>
      </c>
      <c r="AY53" t="s">
        <v>80</v>
      </c>
      <c r="BB53" t="s">
        <v>110</v>
      </c>
      <c r="BE53" s="3">
        <v>0</v>
      </c>
    </row>
    <row r="54" spans="1:59" x14ac:dyDescent="0.3">
      <c r="A54" s="2">
        <v>14544</v>
      </c>
      <c r="B54" s="2">
        <v>288</v>
      </c>
      <c r="C54" t="s">
        <v>59</v>
      </c>
      <c r="D54" t="s">
        <v>60</v>
      </c>
      <c r="E54" s="2">
        <v>398784</v>
      </c>
      <c r="F54" t="s">
        <v>100</v>
      </c>
      <c r="G54" s="5">
        <v>113318180</v>
      </c>
      <c r="H54" t="s">
        <v>101</v>
      </c>
      <c r="I54" t="s">
        <v>416</v>
      </c>
      <c r="J54" t="s">
        <v>195</v>
      </c>
      <c r="K54" t="s">
        <v>380</v>
      </c>
      <c r="L54" t="s">
        <v>178</v>
      </c>
      <c r="M54" t="s">
        <v>87</v>
      </c>
      <c r="N54" t="s">
        <v>66</v>
      </c>
      <c r="O54" t="s">
        <v>104</v>
      </c>
      <c r="P54" t="s">
        <v>381</v>
      </c>
      <c r="Q54" t="s">
        <v>375</v>
      </c>
      <c r="R54" s="2">
        <v>2</v>
      </c>
      <c r="S54" t="s">
        <v>138</v>
      </c>
      <c r="T54" t="s">
        <v>479</v>
      </c>
      <c r="U54" s="2">
        <v>4636</v>
      </c>
      <c r="V54" s="2">
        <v>53</v>
      </c>
      <c r="W54" t="s">
        <v>479</v>
      </c>
      <c r="Z54" t="s">
        <v>71</v>
      </c>
      <c r="AA54" t="s">
        <v>72</v>
      </c>
      <c r="AB54" t="s">
        <v>115</v>
      </c>
      <c r="AC54" t="s">
        <v>187</v>
      </c>
      <c r="AD54" t="s">
        <v>188</v>
      </c>
      <c r="AE54" t="s">
        <v>130</v>
      </c>
      <c r="AF54" t="s">
        <v>77</v>
      </c>
      <c r="AG54" t="s">
        <v>78</v>
      </c>
      <c r="AH54" t="s">
        <v>79</v>
      </c>
      <c r="AI54" t="s">
        <v>80</v>
      </c>
      <c r="AJ54" s="2">
        <v>2025</v>
      </c>
      <c r="AK54" s="3">
        <v>3.25</v>
      </c>
      <c r="AL54" s="3">
        <v>15</v>
      </c>
      <c r="AM54" s="2">
        <v>96</v>
      </c>
      <c r="AN54" s="2">
        <v>0</v>
      </c>
      <c r="AO54" s="6">
        <v>31400</v>
      </c>
      <c r="AP54" s="3">
        <v>504.21</v>
      </c>
      <c r="AQ54" s="3">
        <v>25</v>
      </c>
      <c r="AR54" s="6">
        <v>7850</v>
      </c>
      <c r="AS54" s="3">
        <v>793.16</v>
      </c>
      <c r="AT54" s="6">
        <v>24404.9</v>
      </c>
      <c r="AU54" s="6">
        <v>23550</v>
      </c>
      <c r="AV54" s="7">
        <v>46137</v>
      </c>
      <c r="AW54" s="3">
        <v>405.49</v>
      </c>
      <c r="AX54" t="s">
        <v>82</v>
      </c>
      <c r="AY54" t="s">
        <v>80</v>
      </c>
      <c r="BB54" t="s">
        <v>110</v>
      </c>
      <c r="BE54" s="3">
        <v>0</v>
      </c>
    </row>
    <row r="55" spans="1:59" x14ac:dyDescent="0.3">
      <c r="A55" s="2">
        <v>14584</v>
      </c>
      <c r="B55" s="2">
        <v>289</v>
      </c>
      <c r="C55" t="s">
        <v>59</v>
      </c>
      <c r="D55" t="s">
        <v>60</v>
      </c>
      <c r="F55" t="s">
        <v>61</v>
      </c>
      <c r="G55" s="5">
        <v>114036279</v>
      </c>
      <c r="H55" t="s">
        <v>62</v>
      </c>
      <c r="I55" t="s">
        <v>412</v>
      </c>
      <c r="J55" t="s">
        <v>383</v>
      </c>
      <c r="K55" t="s">
        <v>276</v>
      </c>
      <c r="L55" t="s">
        <v>384</v>
      </c>
      <c r="M55" t="s">
        <v>87</v>
      </c>
      <c r="N55" t="s">
        <v>66</v>
      </c>
      <c r="O55" t="s">
        <v>67</v>
      </c>
      <c r="P55" t="s">
        <v>385</v>
      </c>
      <c r="Q55" t="s">
        <v>386</v>
      </c>
      <c r="S55" t="s">
        <v>70</v>
      </c>
      <c r="T55" t="s">
        <v>480</v>
      </c>
      <c r="U55" s="2">
        <v>11082</v>
      </c>
      <c r="V55" s="2">
        <v>54</v>
      </c>
      <c r="W55" t="s">
        <v>480</v>
      </c>
      <c r="Z55" t="s">
        <v>71</v>
      </c>
      <c r="AA55" t="s">
        <v>72</v>
      </c>
      <c r="AB55" t="s">
        <v>115</v>
      </c>
      <c r="AC55" t="s">
        <v>387</v>
      </c>
      <c r="AD55" t="s">
        <v>388</v>
      </c>
      <c r="AE55" t="s">
        <v>389</v>
      </c>
      <c r="AF55" t="s">
        <v>77</v>
      </c>
      <c r="AG55" t="s">
        <v>78</v>
      </c>
      <c r="AH55" t="s">
        <v>79</v>
      </c>
      <c r="AI55" t="s">
        <v>80</v>
      </c>
      <c r="AJ55" s="2">
        <v>2026</v>
      </c>
      <c r="AK55" s="3">
        <v>3.25</v>
      </c>
      <c r="AL55" s="3">
        <v>15</v>
      </c>
      <c r="AM55" s="2">
        <v>96</v>
      </c>
      <c r="AN55" s="2">
        <v>0</v>
      </c>
      <c r="AO55" s="6">
        <v>27312.5</v>
      </c>
      <c r="AP55" s="3">
        <v>504.21</v>
      </c>
      <c r="AQ55" s="3">
        <v>20</v>
      </c>
      <c r="AR55" s="6">
        <v>5462.5</v>
      </c>
      <c r="AS55" s="3">
        <v>737.11</v>
      </c>
      <c r="AT55" s="6">
        <v>22680.42</v>
      </c>
      <c r="AU55" s="6">
        <v>21850</v>
      </c>
      <c r="AV55" s="7">
        <v>46137</v>
      </c>
      <c r="AW55" s="3">
        <v>412.77</v>
      </c>
      <c r="AX55" t="s">
        <v>82</v>
      </c>
      <c r="AY55" t="s">
        <v>80</v>
      </c>
      <c r="BB55" t="s">
        <v>119</v>
      </c>
      <c r="BC55" t="s">
        <v>120</v>
      </c>
      <c r="BE55" s="3">
        <v>0</v>
      </c>
    </row>
    <row r="56" spans="1:59" x14ac:dyDescent="0.3">
      <c r="A56" s="2">
        <v>14609</v>
      </c>
      <c r="B56" s="2">
        <v>290</v>
      </c>
      <c r="C56" t="s">
        <v>59</v>
      </c>
      <c r="D56" t="s">
        <v>60</v>
      </c>
      <c r="E56" s="2">
        <v>649559</v>
      </c>
      <c r="F56" t="s">
        <v>100</v>
      </c>
      <c r="G56" s="5">
        <v>114690171</v>
      </c>
      <c r="H56" t="s">
        <v>101</v>
      </c>
      <c r="I56" t="s">
        <v>416</v>
      </c>
      <c r="J56" t="s">
        <v>325</v>
      </c>
      <c r="K56" t="s">
        <v>64</v>
      </c>
      <c r="L56" t="s">
        <v>390</v>
      </c>
      <c r="M56" t="s">
        <v>65</v>
      </c>
      <c r="N56" t="s">
        <v>257</v>
      </c>
      <c r="O56" t="s">
        <v>104</v>
      </c>
      <c r="P56" t="s">
        <v>391</v>
      </c>
      <c r="Q56" t="s">
        <v>392</v>
      </c>
      <c r="R56" s="2">
        <v>1</v>
      </c>
      <c r="S56" t="s">
        <v>193</v>
      </c>
      <c r="T56" t="s">
        <v>481</v>
      </c>
      <c r="U56" s="2">
        <v>11049</v>
      </c>
      <c r="V56" s="2">
        <v>55</v>
      </c>
      <c r="W56" t="s">
        <v>481</v>
      </c>
      <c r="Z56" t="s">
        <v>71</v>
      </c>
      <c r="AA56" t="s">
        <v>72</v>
      </c>
      <c r="AB56" t="s">
        <v>115</v>
      </c>
      <c r="AC56" t="s">
        <v>74</v>
      </c>
      <c r="AD56" t="s">
        <v>292</v>
      </c>
      <c r="AE56" t="s">
        <v>293</v>
      </c>
      <c r="AF56" t="s">
        <v>77</v>
      </c>
      <c r="AG56" t="s">
        <v>78</v>
      </c>
      <c r="AH56" t="s">
        <v>79</v>
      </c>
      <c r="AI56" t="s">
        <v>80</v>
      </c>
      <c r="AJ56" s="2">
        <v>2026</v>
      </c>
      <c r="AK56" s="3">
        <v>3.25</v>
      </c>
      <c r="AL56" s="3">
        <v>15</v>
      </c>
      <c r="AM56" s="2">
        <v>96</v>
      </c>
      <c r="AN56" s="2">
        <v>0</v>
      </c>
      <c r="AO56" s="6">
        <v>62900</v>
      </c>
      <c r="AP56" s="3">
        <v>504.21</v>
      </c>
      <c r="AQ56" s="3">
        <v>41.3</v>
      </c>
      <c r="AR56" s="6">
        <v>25977.7</v>
      </c>
      <c r="AS56" s="3">
        <v>1242.99</v>
      </c>
      <c r="AT56" s="6">
        <v>38245.769999999997</v>
      </c>
      <c r="AU56" s="6">
        <v>36922.300000000003</v>
      </c>
      <c r="AV56" s="7">
        <v>46137</v>
      </c>
      <c r="AW56" s="3">
        <v>619.17999999999995</v>
      </c>
      <c r="AX56" t="s">
        <v>82</v>
      </c>
      <c r="AY56" t="s">
        <v>80</v>
      </c>
      <c r="BB56" t="s">
        <v>83</v>
      </c>
      <c r="BD56" t="s">
        <v>84</v>
      </c>
      <c r="BE56" s="3">
        <v>15000</v>
      </c>
    </row>
    <row r="57" spans="1:59" x14ac:dyDescent="0.3">
      <c r="A57" s="2">
        <v>14617</v>
      </c>
      <c r="B57" s="2">
        <v>291</v>
      </c>
      <c r="C57" t="s">
        <v>59</v>
      </c>
      <c r="D57" t="s">
        <v>60</v>
      </c>
      <c r="F57" t="s">
        <v>61</v>
      </c>
      <c r="G57" s="5">
        <v>702116269</v>
      </c>
      <c r="H57" t="s">
        <v>62</v>
      </c>
      <c r="I57" t="s">
        <v>195</v>
      </c>
      <c r="J57" t="s">
        <v>393</v>
      </c>
      <c r="K57" t="s">
        <v>394</v>
      </c>
      <c r="L57" t="s">
        <v>203</v>
      </c>
      <c r="M57" t="s">
        <v>87</v>
      </c>
      <c r="N57" t="s">
        <v>66</v>
      </c>
      <c r="O57" t="s">
        <v>67</v>
      </c>
      <c r="P57" t="s">
        <v>395</v>
      </c>
      <c r="Q57" t="s">
        <v>396</v>
      </c>
      <c r="S57" t="s">
        <v>163</v>
      </c>
      <c r="T57" t="s">
        <v>482</v>
      </c>
      <c r="U57" s="2">
        <v>11720</v>
      </c>
      <c r="V57" s="2">
        <v>56</v>
      </c>
      <c r="W57" t="s">
        <v>482</v>
      </c>
      <c r="Z57" t="s">
        <v>71</v>
      </c>
      <c r="AA57" t="s">
        <v>72</v>
      </c>
      <c r="AB57" t="s">
        <v>91</v>
      </c>
      <c r="AC57" t="s">
        <v>92</v>
      </c>
      <c r="AD57" t="s">
        <v>93</v>
      </c>
      <c r="AE57" t="s">
        <v>397</v>
      </c>
      <c r="AF57" t="s">
        <v>77</v>
      </c>
      <c r="AG57" t="s">
        <v>78</v>
      </c>
      <c r="AH57" t="s">
        <v>79</v>
      </c>
      <c r="AI57" t="s">
        <v>80</v>
      </c>
      <c r="AJ57" s="2">
        <v>2025</v>
      </c>
      <c r="AK57" s="3">
        <v>3.25</v>
      </c>
      <c r="AL57" s="3">
        <v>20</v>
      </c>
      <c r="AM57" s="2">
        <v>96</v>
      </c>
      <c r="AN57" s="2">
        <v>0</v>
      </c>
      <c r="AO57" s="6">
        <v>31490</v>
      </c>
      <c r="AP57" s="3">
        <v>504.21</v>
      </c>
      <c r="AQ57" s="3">
        <v>25</v>
      </c>
      <c r="AR57" s="6">
        <v>7872.5</v>
      </c>
      <c r="AS57" s="3">
        <v>796.45</v>
      </c>
      <c r="AT57" s="6">
        <v>24506.240000000002</v>
      </c>
      <c r="AU57" s="6">
        <v>23617.5</v>
      </c>
      <c r="AV57" s="7">
        <v>46137</v>
      </c>
      <c r="AW57" s="3">
        <v>437.47</v>
      </c>
      <c r="AX57" t="s">
        <v>82</v>
      </c>
      <c r="AY57" t="s">
        <v>80</v>
      </c>
      <c r="BB57" t="s">
        <v>110</v>
      </c>
      <c r="BE57" s="3">
        <v>0</v>
      </c>
    </row>
    <row r="58" spans="1:59" x14ac:dyDescent="0.3">
      <c r="A58" s="2">
        <v>14638</v>
      </c>
      <c r="B58" s="2">
        <v>292</v>
      </c>
      <c r="C58" t="s">
        <v>59</v>
      </c>
      <c r="D58" t="s">
        <v>60</v>
      </c>
      <c r="F58" t="s">
        <v>61</v>
      </c>
      <c r="G58" s="5">
        <v>114638684</v>
      </c>
      <c r="H58" t="s">
        <v>62</v>
      </c>
      <c r="I58" t="s">
        <v>414</v>
      </c>
      <c r="J58" t="s">
        <v>195</v>
      </c>
      <c r="K58" t="s">
        <v>64</v>
      </c>
      <c r="L58" t="s">
        <v>398</v>
      </c>
      <c r="M58" t="s">
        <v>87</v>
      </c>
      <c r="N58" t="s">
        <v>66</v>
      </c>
      <c r="O58" t="s">
        <v>67</v>
      </c>
      <c r="P58" t="s">
        <v>399</v>
      </c>
      <c r="Q58" t="s">
        <v>400</v>
      </c>
      <c r="S58" t="s">
        <v>70</v>
      </c>
      <c r="T58" t="s">
        <v>483</v>
      </c>
      <c r="U58" s="2">
        <v>11504</v>
      </c>
      <c r="V58" s="2">
        <v>57</v>
      </c>
      <c r="W58" t="s">
        <v>483</v>
      </c>
      <c r="Z58" t="s">
        <v>71</v>
      </c>
      <c r="AA58" t="s">
        <v>72</v>
      </c>
      <c r="AB58" t="s">
        <v>115</v>
      </c>
      <c r="AC58" t="s">
        <v>92</v>
      </c>
      <c r="AD58" t="s">
        <v>165</v>
      </c>
      <c r="AE58" t="s">
        <v>166</v>
      </c>
      <c r="AF58" t="s">
        <v>77</v>
      </c>
      <c r="AG58" t="s">
        <v>78</v>
      </c>
      <c r="AH58" t="s">
        <v>79</v>
      </c>
      <c r="AI58" t="s">
        <v>80</v>
      </c>
      <c r="AJ58" s="2">
        <v>2025</v>
      </c>
      <c r="AK58" s="3">
        <v>3.25</v>
      </c>
      <c r="AL58" s="3">
        <v>15</v>
      </c>
      <c r="AM58" s="2">
        <v>96</v>
      </c>
      <c r="AN58" s="2">
        <v>0</v>
      </c>
      <c r="AO58" s="6">
        <v>31990</v>
      </c>
      <c r="AP58" s="3">
        <v>504.21</v>
      </c>
      <c r="AQ58" s="3">
        <v>15</v>
      </c>
      <c r="AR58" s="6">
        <v>4798.5</v>
      </c>
      <c r="AS58" s="3">
        <v>916.29</v>
      </c>
      <c r="AT58" s="6">
        <v>28193.67</v>
      </c>
      <c r="AU58" s="6">
        <v>27191.5</v>
      </c>
      <c r="AV58" s="7">
        <v>46137</v>
      </c>
      <c r="AW58" s="3">
        <v>482.99</v>
      </c>
      <c r="AX58" t="s">
        <v>80</v>
      </c>
      <c r="AY58" t="s">
        <v>80</v>
      </c>
      <c r="BB58" t="s">
        <v>83</v>
      </c>
      <c r="BD58" t="s">
        <v>84</v>
      </c>
      <c r="BE58" s="3">
        <v>5000</v>
      </c>
    </row>
    <row r="59" spans="1:59" x14ac:dyDescent="0.3">
      <c r="A59" s="2">
        <v>14640</v>
      </c>
      <c r="B59" s="2">
        <v>293</v>
      </c>
      <c r="C59" t="s">
        <v>59</v>
      </c>
      <c r="D59" t="s">
        <v>60</v>
      </c>
      <c r="F59" t="s">
        <v>61</v>
      </c>
      <c r="G59" s="5">
        <v>603047057</v>
      </c>
      <c r="H59" t="s">
        <v>62</v>
      </c>
      <c r="I59" t="s">
        <v>417</v>
      </c>
      <c r="K59" t="s">
        <v>401</v>
      </c>
      <c r="L59" t="s">
        <v>177</v>
      </c>
      <c r="M59" t="s">
        <v>65</v>
      </c>
      <c r="N59" t="s">
        <v>88</v>
      </c>
      <c r="O59" t="s">
        <v>67</v>
      </c>
      <c r="P59" t="s">
        <v>402</v>
      </c>
      <c r="Q59" t="s">
        <v>218</v>
      </c>
      <c r="S59" t="s">
        <v>236</v>
      </c>
      <c r="T59" t="s">
        <v>484</v>
      </c>
      <c r="U59" s="2">
        <v>17595</v>
      </c>
      <c r="V59" s="2">
        <v>58</v>
      </c>
      <c r="W59" t="s">
        <v>484</v>
      </c>
      <c r="Z59" t="s">
        <v>71</v>
      </c>
      <c r="AA59" t="s">
        <v>72</v>
      </c>
      <c r="AB59" t="s">
        <v>91</v>
      </c>
      <c r="AC59" t="s">
        <v>147</v>
      </c>
      <c r="AD59" t="s">
        <v>403</v>
      </c>
      <c r="AE59" t="s">
        <v>404</v>
      </c>
      <c r="AF59" t="s">
        <v>77</v>
      </c>
      <c r="AG59" t="s">
        <v>78</v>
      </c>
      <c r="AH59" t="s">
        <v>79</v>
      </c>
      <c r="AI59" t="s">
        <v>80</v>
      </c>
      <c r="AJ59" s="2">
        <v>2025</v>
      </c>
      <c r="AK59" s="3">
        <v>3.25</v>
      </c>
      <c r="AL59" s="3">
        <v>20</v>
      </c>
      <c r="AM59" s="2">
        <v>96</v>
      </c>
      <c r="AN59" s="2">
        <v>0</v>
      </c>
      <c r="AO59" s="6">
        <v>42488</v>
      </c>
      <c r="AP59" s="3">
        <v>504.21</v>
      </c>
      <c r="AQ59" s="3">
        <v>20</v>
      </c>
      <c r="AR59" s="6">
        <v>8498</v>
      </c>
      <c r="AS59" s="3">
        <v>1146.1099999999999</v>
      </c>
      <c r="AT59" s="6">
        <v>35265.03</v>
      </c>
      <c r="AU59" s="6">
        <v>33990</v>
      </c>
      <c r="AV59" s="7">
        <v>46138</v>
      </c>
      <c r="AW59" s="3">
        <v>625.64</v>
      </c>
      <c r="AX59" t="s">
        <v>82</v>
      </c>
      <c r="AY59" t="s">
        <v>80</v>
      </c>
      <c r="BB59" t="s">
        <v>83</v>
      </c>
      <c r="BD59" t="s">
        <v>84</v>
      </c>
      <c r="BE59" s="3">
        <v>7000</v>
      </c>
    </row>
    <row r="60" spans="1:59" x14ac:dyDescent="0.3">
      <c r="A60" s="2">
        <v>14643</v>
      </c>
      <c r="B60" s="2">
        <v>294</v>
      </c>
      <c r="C60" t="s">
        <v>59</v>
      </c>
      <c r="D60" t="s">
        <v>60</v>
      </c>
      <c r="E60" s="2">
        <v>544153</v>
      </c>
      <c r="F60" t="s">
        <v>100</v>
      </c>
      <c r="G60" s="5">
        <v>108105432</v>
      </c>
      <c r="H60" t="s">
        <v>101</v>
      </c>
      <c r="I60" t="s">
        <v>414</v>
      </c>
      <c r="K60" t="s">
        <v>406</v>
      </c>
      <c r="L60" t="s">
        <v>251</v>
      </c>
      <c r="M60" t="s">
        <v>65</v>
      </c>
      <c r="N60" t="s">
        <v>257</v>
      </c>
      <c r="O60" t="s">
        <v>104</v>
      </c>
      <c r="P60" t="s">
        <v>407</v>
      </c>
      <c r="Q60" t="s">
        <v>259</v>
      </c>
      <c r="R60" s="2">
        <v>1</v>
      </c>
      <c r="S60" t="s">
        <v>127</v>
      </c>
      <c r="T60" t="s">
        <v>485</v>
      </c>
      <c r="U60" s="2">
        <v>5590</v>
      </c>
      <c r="V60" s="2">
        <v>59</v>
      </c>
      <c r="W60" t="s">
        <v>485</v>
      </c>
      <c r="Z60" t="s">
        <v>71</v>
      </c>
      <c r="AA60" t="s">
        <v>72</v>
      </c>
      <c r="AB60" t="s">
        <v>115</v>
      </c>
      <c r="AC60" t="s">
        <v>187</v>
      </c>
      <c r="AD60" t="s">
        <v>188</v>
      </c>
      <c r="AE60" t="s">
        <v>189</v>
      </c>
      <c r="AF60" t="s">
        <v>77</v>
      </c>
      <c r="AG60" t="s">
        <v>78</v>
      </c>
      <c r="AH60" t="s">
        <v>79</v>
      </c>
      <c r="AI60" t="s">
        <v>80</v>
      </c>
      <c r="AJ60" s="2">
        <v>2025</v>
      </c>
      <c r="AK60" s="3">
        <v>3.25</v>
      </c>
      <c r="AL60" s="3">
        <v>15</v>
      </c>
      <c r="AM60" s="2">
        <v>96</v>
      </c>
      <c r="AN60" s="2">
        <v>0</v>
      </c>
      <c r="AO60" s="6">
        <v>27900</v>
      </c>
      <c r="AP60" s="3">
        <v>504.21</v>
      </c>
      <c r="AQ60" s="3">
        <v>15</v>
      </c>
      <c r="AR60" s="6">
        <v>4185</v>
      </c>
      <c r="AS60" s="3">
        <v>799.54</v>
      </c>
      <c r="AT60" s="6">
        <v>24601.17</v>
      </c>
      <c r="AU60" s="6">
        <v>23715</v>
      </c>
      <c r="AV60" s="7">
        <v>46138</v>
      </c>
      <c r="AW60" s="3">
        <v>433.14</v>
      </c>
      <c r="AX60" t="s">
        <v>82</v>
      </c>
      <c r="AY60" t="s">
        <v>80</v>
      </c>
      <c r="BB60" t="s">
        <v>110</v>
      </c>
      <c r="BE60" s="3">
        <v>0</v>
      </c>
    </row>
    <row r="61" spans="1:59" x14ac:dyDescent="0.3">
      <c r="A61" s="2">
        <v>14644</v>
      </c>
      <c r="B61" s="2">
        <v>295</v>
      </c>
      <c r="C61" t="s">
        <v>59</v>
      </c>
      <c r="D61" t="s">
        <v>60</v>
      </c>
      <c r="E61" s="2">
        <v>1028512</v>
      </c>
      <c r="F61" t="s">
        <v>100</v>
      </c>
      <c r="G61" s="5">
        <v>504003871</v>
      </c>
      <c r="H61" t="s">
        <v>101</v>
      </c>
      <c r="I61" t="s">
        <v>287</v>
      </c>
      <c r="K61" t="s">
        <v>408</v>
      </c>
      <c r="L61" t="s">
        <v>409</v>
      </c>
      <c r="M61" t="s">
        <v>65</v>
      </c>
      <c r="N61" t="s">
        <v>66</v>
      </c>
      <c r="O61" t="s">
        <v>104</v>
      </c>
      <c r="P61" t="s">
        <v>410</v>
      </c>
      <c r="Q61" t="s">
        <v>218</v>
      </c>
      <c r="R61" s="2">
        <v>1</v>
      </c>
      <c r="S61" t="s">
        <v>236</v>
      </c>
      <c r="T61" t="s">
        <v>486</v>
      </c>
      <c r="U61" s="2">
        <v>7594</v>
      </c>
      <c r="V61" s="2">
        <v>60</v>
      </c>
      <c r="W61" t="s">
        <v>486</v>
      </c>
      <c r="Z61" t="s">
        <v>71</v>
      </c>
      <c r="AA61" t="s">
        <v>72</v>
      </c>
      <c r="AB61" t="s">
        <v>164</v>
      </c>
      <c r="AC61" t="s">
        <v>187</v>
      </c>
      <c r="AD61" t="s">
        <v>188</v>
      </c>
      <c r="AE61" t="s">
        <v>286</v>
      </c>
      <c r="AF61" t="s">
        <v>77</v>
      </c>
      <c r="AG61" t="s">
        <v>78</v>
      </c>
      <c r="AH61" t="s">
        <v>79</v>
      </c>
      <c r="AI61" t="s">
        <v>80</v>
      </c>
      <c r="AJ61" s="2">
        <v>2025</v>
      </c>
      <c r="AK61" s="3">
        <v>3.25</v>
      </c>
      <c r="AL61" s="3">
        <v>15</v>
      </c>
      <c r="AM61" s="2">
        <v>96</v>
      </c>
      <c r="AN61" s="2">
        <v>0</v>
      </c>
      <c r="AO61" s="6">
        <v>38900</v>
      </c>
      <c r="AP61" s="3">
        <v>504.21</v>
      </c>
      <c r="AQ61" s="3">
        <v>15</v>
      </c>
      <c r="AR61" s="6">
        <v>14700</v>
      </c>
      <c r="AS61" s="3">
        <v>812.92</v>
      </c>
      <c r="AT61" s="6">
        <v>25012.92</v>
      </c>
      <c r="AU61" s="6">
        <v>24200</v>
      </c>
      <c r="AV61" s="7">
        <v>46138</v>
      </c>
      <c r="AW61" s="3">
        <v>342.06</v>
      </c>
      <c r="AX61" t="s">
        <v>80</v>
      </c>
      <c r="AY61" t="s">
        <v>80</v>
      </c>
      <c r="BB61" t="s">
        <v>83</v>
      </c>
      <c r="BD61" t="s">
        <v>141</v>
      </c>
      <c r="BE61" s="3">
        <v>0</v>
      </c>
    </row>
    <row r="62" spans="1:59" x14ac:dyDescent="0.3">
      <c r="A62" s="2">
        <v>14645</v>
      </c>
      <c r="B62" s="2">
        <v>296</v>
      </c>
      <c r="C62" t="s">
        <v>59</v>
      </c>
      <c r="D62" t="s">
        <v>60</v>
      </c>
      <c r="E62" s="2">
        <v>753633</v>
      </c>
      <c r="F62" t="s">
        <v>100</v>
      </c>
      <c r="G62" s="5">
        <v>207256254</v>
      </c>
      <c r="H62" t="s">
        <v>101</v>
      </c>
      <c r="I62" t="s">
        <v>415</v>
      </c>
      <c r="J62" t="s">
        <v>195</v>
      </c>
      <c r="K62" t="s">
        <v>135</v>
      </c>
      <c r="L62" t="s">
        <v>232</v>
      </c>
      <c r="M62" t="s">
        <v>87</v>
      </c>
      <c r="N62" t="s">
        <v>66</v>
      </c>
      <c r="O62" t="s">
        <v>104</v>
      </c>
      <c r="P62" t="s">
        <v>411</v>
      </c>
      <c r="Q62" t="s">
        <v>90</v>
      </c>
      <c r="R62" s="2">
        <v>1</v>
      </c>
      <c r="S62" t="s">
        <v>70</v>
      </c>
      <c r="T62" t="s">
        <v>487</v>
      </c>
      <c r="U62" s="2">
        <v>11504</v>
      </c>
      <c r="V62" s="2">
        <v>61</v>
      </c>
      <c r="W62" t="s">
        <v>487</v>
      </c>
      <c r="Z62" t="s">
        <v>71</v>
      </c>
      <c r="AA62" t="s">
        <v>72</v>
      </c>
      <c r="AB62" t="s">
        <v>128</v>
      </c>
      <c r="AC62" t="s">
        <v>74</v>
      </c>
      <c r="AD62" t="s">
        <v>75</v>
      </c>
      <c r="AE62" t="s">
        <v>361</v>
      </c>
      <c r="AF62" t="s">
        <v>77</v>
      </c>
      <c r="AG62" t="s">
        <v>78</v>
      </c>
      <c r="AH62" t="s">
        <v>79</v>
      </c>
      <c r="AI62" t="s">
        <v>80</v>
      </c>
      <c r="AJ62" s="2">
        <v>2026</v>
      </c>
      <c r="AK62" s="3">
        <v>3.25</v>
      </c>
      <c r="AL62" s="3">
        <v>20</v>
      </c>
      <c r="AM62" s="2">
        <v>84</v>
      </c>
      <c r="AN62" s="2">
        <v>0</v>
      </c>
      <c r="AO62" s="6">
        <v>26900</v>
      </c>
      <c r="AP62" s="3">
        <v>504.21</v>
      </c>
      <c r="AQ62" s="3">
        <v>50</v>
      </c>
      <c r="AR62" s="6">
        <v>13450</v>
      </c>
      <c r="AS62" s="3">
        <v>454.54</v>
      </c>
      <c r="AT62" s="6">
        <v>13985.9</v>
      </c>
      <c r="AU62" s="6">
        <v>13450</v>
      </c>
      <c r="AV62" s="7">
        <v>46138</v>
      </c>
      <c r="AW62" s="3">
        <v>298.29000000000002</v>
      </c>
      <c r="AX62" t="s">
        <v>82</v>
      </c>
      <c r="AY62" t="s">
        <v>80</v>
      </c>
      <c r="BB62" t="s">
        <v>83</v>
      </c>
      <c r="BD62" t="s">
        <v>84</v>
      </c>
      <c r="BE62" s="3">
        <v>1000</v>
      </c>
    </row>
  </sheetData>
  <autoFilter ref="A1:BG62" xr:uid="{00000000-0009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CCD2-EDB2-4107-A092-BA7FB85BF2D5}">
  <dimension ref="A1:J62"/>
  <sheetViews>
    <sheetView topLeftCell="A25" workbookViewId="0">
      <selection activeCell="B2" sqref="B2:B62"/>
    </sheetView>
  </sheetViews>
  <sheetFormatPr baseColWidth="10" defaultRowHeight="14.4" x14ac:dyDescent="0.3"/>
  <sheetData>
    <row r="1" spans="1:10" x14ac:dyDescent="0.3">
      <c r="A1" t="s">
        <v>47</v>
      </c>
      <c r="I1" t="s">
        <v>47</v>
      </c>
    </row>
    <row r="2" spans="1:10" x14ac:dyDescent="0.3">
      <c r="A2" t="s">
        <v>81</v>
      </c>
      <c r="B2" s="7">
        <f>_xlfn.XLOOKUP(A2,I:I,J:J,0,0)</f>
        <v>46128</v>
      </c>
      <c r="I2" t="s">
        <v>81</v>
      </c>
      <c r="J2" s="7">
        <v>46128</v>
      </c>
    </row>
    <row r="3" spans="1:10" x14ac:dyDescent="0.3">
      <c r="A3" t="s">
        <v>95</v>
      </c>
      <c r="B3" s="7">
        <f t="shared" ref="B3:B62" si="0">_xlfn.XLOOKUP(A3,I:I,J:J,0,0)</f>
        <v>46134</v>
      </c>
      <c r="I3" t="s">
        <v>131</v>
      </c>
      <c r="J3" s="7">
        <v>46129</v>
      </c>
    </row>
    <row r="4" spans="1:10" x14ac:dyDescent="0.3">
      <c r="A4" t="s">
        <v>81</v>
      </c>
      <c r="B4" s="7">
        <f t="shared" si="0"/>
        <v>46128</v>
      </c>
      <c r="I4" t="s">
        <v>156</v>
      </c>
      <c r="J4" s="7">
        <v>46130</v>
      </c>
    </row>
    <row r="5" spans="1:10" x14ac:dyDescent="0.3">
      <c r="A5" t="s">
        <v>81</v>
      </c>
      <c r="B5" s="7">
        <f t="shared" si="0"/>
        <v>46128</v>
      </c>
      <c r="J5" s="7">
        <v>46131</v>
      </c>
    </row>
    <row r="6" spans="1:10" x14ac:dyDescent="0.3">
      <c r="A6" t="s">
        <v>131</v>
      </c>
      <c r="B6" s="7">
        <f t="shared" si="0"/>
        <v>46129</v>
      </c>
      <c r="I6" t="s">
        <v>245</v>
      </c>
      <c r="J6" s="7">
        <v>46132</v>
      </c>
    </row>
    <row r="7" spans="1:10" x14ac:dyDescent="0.3">
      <c r="A7" t="s">
        <v>131</v>
      </c>
      <c r="B7" s="7">
        <f t="shared" si="0"/>
        <v>46129</v>
      </c>
      <c r="I7" t="s">
        <v>300</v>
      </c>
      <c r="J7" s="7">
        <v>46133</v>
      </c>
    </row>
    <row r="8" spans="1:10" x14ac:dyDescent="0.3">
      <c r="A8" t="s">
        <v>131</v>
      </c>
      <c r="B8" s="7">
        <f t="shared" si="0"/>
        <v>46129</v>
      </c>
      <c r="I8" t="s">
        <v>95</v>
      </c>
      <c r="J8" s="7">
        <v>46134</v>
      </c>
    </row>
    <row r="9" spans="1:10" x14ac:dyDescent="0.3">
      <c r="A9" t="s">
        <v>131</v>
      </c>
      <c r="B9" s="7">
        <f t="shared" si="0"/>
        <v>46129</v>
      </c>
      <c r="I9" t="s">
        <v>181</v>
      </c>
      <c r="J9" s="7">
        <v>46135</v>
      </c>
    </row>
    <row r="10" spans="1:10" x14ac:dyDescent="0.3">
      <c r="A10" t="s">
        <v>156</v>
      </c>
      <c r="B10" s="7">
        <f t="shared" si="0"/>
        <v>46130</v>
      </c>
      <c r="I10" t="s">
        <v>238</v>
      </c>
      <c r="J10" s="7">
        <v>46136</v>
      </c>
    </row>
    <row r="11" spans="1:10" x14ac:dyDescent="0.3">
      <c r="A11" t="s">
        <v>131</v>
      </c>
      <c r="B11" s="7">
        <f t="shared" si="0"/>
        <v>46129</v>
      </c>
      <c r="I11" t="s">
        <v>382</v>
      </c>
      <c r="J11" s="7">
        <v>46137</v>
      </c>
    </row>
    <row r="12" spans="1:10" x14ac:dyDescent="0.3">
      <c r="A12" t="s">
        <v>131</v>
      </c>
      <c r="B12" s="7">
        <f t="shared" si="0"/>
        <v>46129</v>
      </c>
      <c r="I12" t="s">
        <v>405</v>
      </c>
      <c r="J12" s="7">
        <v>46138</v>
      </c>
    </row>
    <row r="13" spans="1:10" x14ac:dyDescent="0.3">
      <c r="A13" t="s">
        <v>181</v>
      </c>
      <c r="B13" s="7">
        <f t="shared" si="0"/>
        <v>46135</v>
      </c>
    </row>
    <row r="14" spans="1:10" x14ac:dyDescent="0.3">
      <c r="A14" t="s">
        <v>131</v>
      </c>
      <c r="B14" s="7">
        <f t="shared" si="0"/>
        <v>46129</v>
      </c>
    </row>
    <row r="15" spans="1:10" x14ac:dyDescent="0.3">
      <c r="A15" t="s">
        <v>156</v>
      </c>
      <c r="B15" s="7">
        <f t="shared" si="0"/>
        <v>46130</v>
      </c>
    </row>
    <row r="16" spans="1:10" x14ac:dyDescent="0.3">
      <c r="A16" t="s">
        <v>156</v>
      </c>
      <c r="B16" s="7">
        <f t="shared" si="0"/>
        <v>46130</v>
      </c>
    </row>
    <row r="17" spans="1:2" x14ac:dyDescent="0.3">
      <c r="A17" t="s">
        <v>181</v>
      </c>
      <c r="B17" s="7">
        <f t="shared" si="0"/>
        <v>46135</v>
      </c>
    </row>
    <row r="18" spans="1:2" x14ac:dyDescent="0.3">
      <c r="A18" t="s">
        <v>156</v>
      </c>
      <c r="B18" s="7">
        <f t="shared" si="0"/>
        <v>46130</v>
      </c>
    </row>
    <row r="19" spans="1:2" x14ac:dyDescent="0.3">
      <c r="A19" t="s">
        <v>156</v>
      </c>
      <c r="B19" s="7">
        <f t="shared" si="0"/>
        <v>46130</v>
      </c>
    </row>
    <row r="20" spans="1:2" x14ac:dyDescent="0.3">
      <c r="A20" t="s">
        <v>156</v>
      </c>
      <c r="B20" s="7">
        <f t="shared" si="0"/>
        <v>46130</v>
      </c>
    </row>
    <row r="21" spans="1:2" x14ac:dyDescent="0.3">
      <c r="A21" t="s">
        <v>238</v>
      </c>
      <c r="B21" s="7">
        <f t="shared" si="0"/>
        <v>46136</v>
      </c>
    </row>
    <row r="22" spans="1:2" x14ac:dyDescent="0.3">
      <c r="A22" t="s">
        <v>245</v>
      </c>
      <c r="B22" s="7">
        <f t="shared" si="0"/>
        <v>46132</v>
      </c>
    </row>
    <row r="23" spans="1:2" x14ac:dyDescent="0.3">
      <c r="A23" t="s">
        <v>245</v>
      </c>
      <c r="B23" s="7">
        <f t="shared" si="0"/>
        <v>46132</v>
      </c>
    </row>
    <row r="24" spans="1:2" x14ac:dyDescent="0.3">
      <c r="A24" t="s">
        <v>245</v>
      </c>
      <c r="B24" s="7">
        <f t="shared" si="0"/>
        <v>46132</v>
      </c>
    </row>
    <row r="25" spans="1:2" x14ac:dyDescent="0.3">
      <c r="A25" t="s">
        <v>245</v>
      </c>
      <c r="B25" s="7">
        <f t="shared" si="0"/>
        <v>46132</v>
      </c>
    </row>
    <row r="26" spans="1:2" x14ac:dyDescent="0.3">
      <c r="A26" t="s">
        <v>245</v>
      </c>
      <c r="B26" s="7">
        <f t="shared" si="0"/>
        <v>46132</v>
      </c>
    </row>
    <row r="27" spans="1:2" x14ac:dyDescent="0.3">
      <c r="A27" t="s">
        <v>245</v>
      </c>
      <c r="B27" s="7">
        <f t="shared" si="0"/>
        <v>46132</v>
      </c>
    </row>
    <row r="28" spans="1:2" x14ac:dyDescent="0.3">
      <c r="A28" t="s">
        <v>245</v>
      </c>
      <c r="B28" s="7">
        <f t="shared" si="0"/>
        <v>46132</v>
      </c>
    </row>
    <row r="29" spans="1:2" x14ac:dyDescent="0.3">
      <c r="A29" t="s">
        <v>245</v>
      </c>
      <c r="B29" s="7">
        <f t="shared" si="0"/>
        <v>46132</v>
      </c>
    </row>
    <row r="30" spans="1:2" x14ac:dyDescent="0.3">
      <c r="A30" t="s">
        <v>245</v>
      </c>
      <c r="B30" s="7">
        <f t="shared" si="0"/>
        <v>46132</v>
      </c>
    </row>
    <row r="31" spans="1:2" x14ac:dyDescent="0.3">
      <c r="A31" t="s">
        <v>245</v>
      </c>
      <c r="B31" s="7">
        <f t="shared" si="0"/>
        <v>46132</v>
      </c>
    </row>
    <row r="32" spans="1:2" x14ac:dyDescent="0.3">
      <c r="A32" t="s">
        <v>300</v>
      </c>
      <c r="B32" s="7">
        <f t="shared" si="0"/>
        <v>46133</v>
      </c>
    </row>
    <row r="33" spans="1:2" x14ac:dyDescent="0.3">
      <c r="A33" t="s">
        <v>300</v>
      </c>
      <c r="B33" s="7">
        <f t="shared" si="0"/>
        <v>46133</v>
      </c>
    </row>
    <row r="34" spans="1:2" x14ac:dyDescent="0.3">
      <c r="A34" t="s">
        <v>245</v>
      </c>
      <c r="B34" s="7">
        <f t="shared" si="0"/>
        <v>46132</v>
      </c>
    </row>
    <row r="35" spans="1:2" x14ac:dyDescent="0.3">
      <c r="A35" t="s">
        <v>300</v>
      </c>
      <c r="B35" s="7">
        <f t="shared" si="0"/>
        <v>46133</v>
      </c>
    </row>
    <row r="36" spans="1:2" x14ac:dyDescent="0.3">
      <c r="A36" t="s">
        <v>300</v>
      </c>
      <c r="B36" s="7">
        <f t="shared" si="0"/>
        <v>46133</v>
      </c>
    </row>
    <row r="37" spans="1:2" x14ac:dyDescent="0.3">
      <c r="A37" t="s">
        <v>300</v>
      </c>
      <c r="B37" s="7">
        <f t="shared" si="0"/>
        <v>46133</v>
      </c>
    </row>
    <row r="38" spans="1:2" x14ac:dyDescent="0.3">
      <c r="A38" t="s">
        <v>300</v>
      </c>
      <c r="B38" s="7">
        <f t="shared" si="0"/>
        <v>46133</v>
      </c>
    </row>
    <row r="39" spans="1:2" x14ac:dyDescent="0.3">
      <c r="A39" t="s">
        <v>300</v>
      </c>
      <c r="B39" s="7">
        <f t="shared" si="0"/>
        <v>46133</v>
      </c>
    </row>
    <row r="40" spans="1:2" x14ac:dyDescent="0.3">
      <c r="A40" t="s">
        <v>300</v>
      </c>
      <c r="B40" s="7">
        <f t="shared" si="0"/>
        <v>46133</v>
      </c>
    </row>
    <row r="41" spans="1:2" x14ac:dyDescent="0.3">
      <c r="A41" t="s">
        <v>95</v>
      </c>
      <c r="B41" s="7">
        <f t="shared" si="0"/>
        <v>46134</v>
      </c>
    </row>
    <row r="42" spans="1:2" x14ac:dyDescent="0.3">
      <c r="A42" t="s">
        <v>181</v>
      </c>
      <c r="B42" s="7">
        <f t="shared" si="0"/>
        <v>46135</v>
      </c>
    </row>
    <row r="43" spans="1:2" x14ac:dyDescent="0.3">
      <c r="A43" t="s">
        <v>95</v>
      </c>
      <c r="B43" s="7">
        <f t="shared" si="0"/>
        <v>46134</v>
      </c>
    </row>
    <row r="44" spans="1:2" x14ac:dyDescent="0.3">
      <c r="A44" t="s">
        <v>95</v>
      </c>
      <c r="B44" s="7">
        <f t="shared" si="0"/>
        <v>46134</v>
      </c>
    </row>
    <row r="45" spans="1:2" x14ac:dyDescent="0.3">
      <c r="A45" t="s">
        <v>95</v>
      </c>
      <c r="B45" s="7">
        <f t="shared" si="0"/>
        <v>46134</v>
      </c>
    </row>
    <row r="46" spans="1:2" x14ac:dyDescent="0.3">
      <c r="A46" t="s">
        <v>95</v>
      </c>
      <c r="B46" s="7">
        <f t="shared" si="0"/>
        <v>46134</v>
      </c>
    </row>
    <row r="47" spans="1:2" x14ac:dyDescent="0.3">
      <c r="A47" t="s">
        <v>95</v>
      </c>
      <c r="B47" s="7">
        <f t="shared" si="0"/>
        <v>46134</v>
      </c>
    </row>
    <row r="48" spans="1:2" x14ac:dyDescent="0.3">
      <c r="A48" t="s">
        <v>95</v>
      </c>
      <c r="B48" s="7">
        <f t="shared" si="0"/>
        <v>46134</v>
      </c>
    </row>
    <row r="49" spans="1:2" x14ac:dyDescent="0.3">
      <c r="A49" t="s">
        <v>95</v>
      </c>
      <c r="B49" s="7">
        <f t="shared" si="0"/>
        <v>46134</v>
      </c>
    </row>
    <row r="50" spans="1:2" x14ac:dyDescent="0.3">
      <c r="A50" t="s">
        <v>181</v>
      </c>
      <c r="B50" s="7">
        <f t="shared" si="0"/>
        <v>46135</v>
      </c>
    </row>
    <row r="51" spans="1:2" x14ac:dyDescent="0.3">
      <c r="A51" t="s">
        <v>238</v>
      </c>
      <c r="B51" s="7">
        <f t="shared" si="0"/>
        <v>46136</v>
      </c>
    </row>
    <row r="52" spans="1:2" x14ac:dyDescent="0.3">
      <c r="A52" t="s">
        <v>238</v>
      </c>
      <c r="B52" s="7">
        <f t="shared" si="0"/>
        <v>46136</v>
      </c>
    </row>
    <row r="53" spans="1:2" x14ac:dyDescent="0.3">
      <c r="A53" t="s">
        <v>238</v>
      </c>
      <c r="B53" s="7">
        <f t="shared" si="0"/>
        <v>46136</v>
      </c>
    </row>
    <row r="54" spans="1:2" x14ac:dyDescent="0.3">
      <c r="A54" t="s">
        <v>382</v>
      </c>
      <c r="B54" s="7">
        <f t="shared" si="0"/>
        <v>46137</v>
      </c>
    </row>
    <row r="55" spans="1:2" x14ac:dyDescent="0.3">
      <c r="A55" t="s">
        <v>382</v>
      </c>
      <c r="B55" s="7">
        <f t="shared" si="0"/>
        <v>46137</v>
      </c>
    </row>
    <row r="56" spans="1:2" x14ac:dyDescent="0.3">
      <c r="A56" t="s">
        <v>382</v>
      </c>
      <c r="B56" s="7">
        <f t="shared" si="0"/>
        <v>46137</v>
      </c>
    </row>
    <row r="57" spans="1:2" x14ac:dyDescent="0.3">
      <c r="A57" t="s">
        <v>382</v>
      </c>
      <c r="B57" s="7">
        <f t="shared" si="0"/>
        <v>46137</v>
      </c>
    </row>
    <row r="58" spans="1:2" x14ac:dyDescent="0.3">
      <c r="A58" t="s">
        <v>382</v>
      </c>
      <c r="B58" s="7">
        <f t="shared" si="0"/>
        <v>46137</v>
      </c>
    </row>
    <row r="59" spans="1:2" x14ac:dyDescent="0.3">
      <c r="A59" t="s">
        <v>405</v>
      </c>
      <c r="B59" s="7">
        <f t="shared" si="0"/>
        <v>46138</v>
      </c>
    </row>
    <row r="60" spans="1:2" x14ac:dyDescent="0.3">
      <c r="A60" t="s">
        <v>405</v>
      </c>
      <c r="B60" s="7">
        <f t="shared" si="0"/>
        <v>46138</v>
      </c>
    </row>
    <row r="61" spans="1:2" x14ac:dyDescent="0.3">
      <c r="A61" t="s">
        <v>405</v>
      </c>
      <c r="B61" s="7">
        <f t="shared" si="0"/>
        <v>46138</v>
      </c>
    </row>
    <row r="62" spans="1:2" x14ac:dyDescent="0.3">
      <c r="A62" t="s">
        <v>405</v>
      </c>
      <c r="B62" s="7">
        <f t="shared" si="0"/>
        <v>46138</v>
      </c>
    </row>
  </sheetData>
  <sortState xmlns:xlrd2="http://schemas.microsoft.com/office/spreadsheetml/2017/richdata2" ref="I2:I11">
    <sortCondition ref="I2:I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Mesen Brenes Carlos Adrian</dc:creator>
  <cp:lastModifiedBy>Odel Leal Hernandez</cp:lastModifiedBy>
  <dcterms:created xsi:type="dcterms:W3CDTF">2025-03-31T17:35:39Z</dcterms:created>
  <dcterms:modified xsi:type="dcterms:W3CDTF">2026-04-26T21:25:39Z</dcterms:modified>
</cp:coreProperties>
</file>